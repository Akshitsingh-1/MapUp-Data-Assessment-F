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1" defaultThemeVersion="166925"/>
  <mc:AlternateContent xmlns:mc="http://schemas.openxmlformats.org/markup-compatibility/2006">
    <mc:Choice Requires="x15">
      <x15ac:absPath xmlns:x15ac="http://schemas.microsoft.com/office/spreadsheetml/2010/11/ac" url="https://d.docs.live.net/cff15ad377ae6f3a/Desktop/"/>
    </mc:Choice>
  </mc:AlternateContent>
  <xr:revisionPtr revIDLastSave="211" documentId="13_ncr:1_{48EB4397-F178-E54E-B28D-22A41FCA72D2}" xr6:coauthVersionLast="47" xr6:coauthVersionMax="47" xr10:uidLastSave="{2859AD1D-D781-4C87-AEE2-78EF5B5D5FBA}"/>
  <bookViews>
    <workbookView xWindow="-110" yWindow="-110" windowWidth="19420" windowHeight="10300" tabRatio="849" activeTab="8" xr2:uid="{00000000-000D-0000-FFFF-FFFF00000000}"/>
  </bookViews>
  <sheets>
    <sheet name="Instructions" sheetId="22" r:id="rId1"/>
    <sheet name="Dataset" sheetId="1" r:id="rId2"/>
    <sheet name="Task_1" sheetId="15" r:id="rId3"/>
    <sheet name="Pivot_for_table_A" sheetId="23" r:id="rId4"/>
    <sheet name="Task_2" sheetId="18" r:id="rId5"/>
    <sheet name="Task 3 using text to columns" sheetId="24" r:id="rId6"/>
    <sheet name="Task_3" sheetId="16" r:id="rId7"/>
    <sheet name="Task_4" sheetId="19" r:id="rId8"/>
    <sheet name="Task_5" sheetId="20" r:id="rId9"/>
  </sheets>
  <functionGroups builtInGroupCount="19"/>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pivotCaches>
    <pivotCache cacheId="2" r:id="rId10"/>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4" i="20" l="1"/>
  <c r="C25" i="20"/>
  <c r="C26" i="20"/>
  <c r="C27" i="20"/>
  <c r="C28" i="20"/>
  <c r="C29" i="20"/>
  <c r="C30" i="20"/>
  <c r="C31" i="20"/>
  <c r="C32" i="20"/>
  <c r="C33" i="20"/>
  <c r="C34" i="20"/>
  <c r="C35" i="20"/>
  <c r="C23" i="20"/>
  <c r="J24" i="20" a="1"/>
  <c r="J24" i="20"/>
  <c r="J25" i="20" a="1"/>
  <c r="J25" i="20"/>
  <c r="J26" i="20" a="1"/>
  <c r="J26" i="20"/>
  <c r="J27" i="20" a="1"/>
  <c r="J27" i="20"/>
  <c r="J28" i="20" a="1"/>
  <c r="J28" i="20"/>
  <c r="J29" i="20" a="1"/>
  <c r="J29" i="20"/>
  <c r="J30" i="20" a="1"/>
  <c r="J30" i="20"/>
  <c r="J31" i="20" a="1"/>
  <c r="J31" i="20"/>
  <c r="J32" i="20" a="1"/>
  <c r="J32" i="20"/>
  <c r="J33" i="20" a="1"/>
  <c r="J33" i="20"/>
  <c r="J34" i="20" a="1"/>
  <c r="J34" i="20"/>
  <c r="J35" i="20" a="1"/>
  <c r="J35" i="20"/>
  <c r="J23" i="20" a="1"/>
  <c r="J23" i="20"/>
  <c r="H24" i="20"/>
  <c r="I24" i="20"/>
  <c r="H25" i="20"/>
  <c r="I25" i="20"/>
  <c r="H26" i="20"/>
  <c r="I26" i="20"/>
  <c r="H27" i="20"/>
  <c r="I27" i="20"/>
  <c r="H28" i="20"/>
  <c r="I28" i="20"/>
  <c r="H29" i="20"/>
  <c r="I29" i="20"/>
  <c r="H30" i="20"/>
  <c r="I30" i="20"/>
  <c r="H31" i="20"/>
  <c r="I31" i="20"/>
  <c r="H32" i="20"/>
  <c r="I32" i="20"/>
  <c r="H33" i="20"/>
  <c r="I33" i="20"/>
  <c r="H34" i="20"/>
  <c r="I34" i="20"/>
  <c r="H35" i="20"/>
  <c r="I35" i="20"/>
  <c r="I23" i="20"/>
  <c r="H23" i="20"/>
  <c r="G23" i="20" a="1"/>
  <c r="G23" i="20"/>
  <c r="G24" i="20" a="1"/>
  <c r="G24" i="20"/>
  <c r="G25" i="20" a="1"/>
  <c r="G25" i="20"/>
  <c r="G26" i="20" a="1"/>
  <c r="G26" i="20"/>
  <c r="G27" i="20" a="1"/>
  <c r="G27" i="20"/>
  <c r="G28" i="20" a="1"/>
  <c r="G28" i="20"/>
  <c r="G29" i="20" a="1"/>
  <c r="G29" i="20"/>
  <c r="G30" i="20" a="1"/>
  <c r="G30" i="20"/>
  <c r="G31" i="20" a="1"/>
  <c r="G31" i="20"/>
  <c r="G32" i="20" a="1"/>
  <c r="G32" i="20"/>
  <c r="G33" i="20" a="1"/>
  <c r="G33" i="20"/>
  <c r="G34" i="20" a="1"/>
  <c r="G34" i="20"/>
  <c r="G35" i="20" a="1"/>
  <c r="G35" i="20"/>
  <c r="F24" i="20" a="1"/>
  <c r="F24" i="20"/>
  <c r="F25" i="20" a="1"/>
  <c r="F25" i="20"/>
  <c r="F26" i="20" a="1"/>
  <c r="F26" i="20"/>
  <c r="F27" i="20" a="1"/>
  <c r="F27" i="20"/>
  <c r="F28" i="20" a="1"/>
  <c r="F28" i="20"/>
  <c r="F29" i="20" a="1"/>
  <c r="F29" i="20"/>
  <c r="F30" i="20" a="1"/>
  <c r="F30" i="20"/>
  <c r="F31" i="20" a="1"/>
  <c r="F31" i="20"/>
  <c r="F32" i="20" a="1"/>
  <c r="F32" i="20"/>
  <c r="F33" i="20" a="1"/>
  <c r="F33" i="20"/>
  <c r="F34" i="20" a="1"/>
  <c r="F34" i="20"/>
  <c r="F35" i="20" a="1"/>
  <c r="F35" i="20"/>
  <c r="F23" i="20" a="1"/>
  <c r="F23" i="20" s="1"/>
  <c r="E24" i="20"/>
  <c r="E25" i="20"/>
  <c r="E26" i="20"/>
  <c r="E27" i="20"/>
  <c r="E28" i="20"/>
  <c r="E29" i="20"/>
  <c r="E30" i="20"/>
  <c r="E31" i="20"/>
  <c r="E32" i="20"/>
  <c r="E33" i="20"/>
  <c r="E34" i="20"/>
  <c r="E35" i="20"/>
  <c r="E23" i="20"/>
  <c r="D24" i="20"/>
  <c r="D25" i="20"/>
  <c r="D26" i="20"/>
  <c r="D27" i="20"/>
  <c r="D28" i="20"/>
  <c r="D29" i="20"/>
  <c r="D30" i="20"/>
  <c r="D31" i="20"/>
  <c r="D32" i="20"/>
  <c r="D33" i="20"/>
  <c r="D34" i="20"/>
  <c r="D35" i="20"/>
  <c r="D23" i="20"/>
  <c r="C22" i="19" a="1"/>
  <c r="C22" i="19" s="1"/>
  <c r="C17" i="16"/>
  <c r="D17" i="16"/>
  <c r="E17" i="16"/>
  <c r="F17" i="16"/>
  <c r="C18" i="16"/>
  <c r="D18" i="16"/>
  <c r="E18" i="16"/>
  <c r="F18" i="16"/>
  <c r="C19" i="16"/>
  <c r="D19" i="16"/>
  <c r="E19" i="16"/>
  <c r="F19" i="16"/>
  <c r="C20" i="16"/>
  <c r="D20" i="16"/>
  <c r="E20" i="16"/>
  <c r="F20" i="16"/>
  <c r="C21" i="16"/>
  <c r="D21" i="16"/>
  <c r="E21" i="16"/>
  <c r="F21" i="16"/>
  <c r="C22" i="16"/>
  <c r="D22" i="16"/>
  <c r="E22" i="16"/>
  <c r="F22" i="16"/>
  <c r="C23" i="16"/>
  <c r="D23" i="16"/>
  <c r="E23" i="16"/>
  <c r="F23" i="16"/>
  <c r="C24" i="16"/>
  <c r="D24" i="16"/>
  <c r="E24" i="16"/>
  <c r="F24" i="16"/>
  <c r="C25" i="16"/>
  <c r="D25" i="16"/>
  <c r="E25" i="16"/>
  <c r="F25" i="16"/>
  <c r="C26" i="16"/>
  <c r="D26" i="16"/>
  <c r="E26" i="16"/>
  <c r="F26" i="16"/>
  <c r="C27" i="16"/>
  <c r="D27" i="16"/>
  <c r="E27" i="16"/>
  <c r="F27" i="16"/>
  <c r="C28" i="16"/>
  <c r="D28" i="16"/>
  <c r="E28" i="16"/>
  <c r="F28" i="16"/>
  <c r="C29" i="16"/>
  <c r="D29" i="16"/>
  <c r="E29" i="16"/>
  <c r="F29" i="16"/>
  <c r="C30" i="16"/>
  <c r="D30" i="16"/>
  <c r="E30" i="16"/>
  <c r="F30" i="16"/>
  <c r="C31" i="16"/>
  <c r="D31" i="16"/>
  <c r="E31" i="16"/>
  <c r="F31" i="16"/>
  <c r="C32" i="16"/>
  <c r="D32" i="16"/>
  <c r="E32" i="16"/>
  <c r="F32" i="16"/>
  <c r="C33" i="16"/>
  <c r="D33" i="16"/>
  <c r="E33" i="16"/>
  <c r="F33" i="16"/>
  <c r="C34" i="16"/>
  <c r="D34" i="16"/>
  <c r="E34" i="16"/>
  <c r="F34" i="16"/>
  <c r="C35" i="16"/>
  <c r="D35" i="16"/>
  <c r="E35" i="16"/>
  <c r="F35" i="16"/>
  <c r="C36" i="16"/>
  <c r="D36" i="16"/>
  <c r="E36" i="16"/>
  <c r="F36" i="16"/>
  <c r="C37" i="16"/>
  <c r="D37" i="16"/>
  <c r="E37" i="16"/>
  <c r="F37" i="16"/>
  <c r="C38" i="16"/>
  <c r="D38" i="16"/>
  <c r="E38" i="16"/>
  <c r="F38" i="16"/>
  <c r="C39" i="16"/>
  <c r="D39" i="16"/>
  <c r="E39" i="16"/>
  <c r="F39" i="16"/>
  <c r="C40" i="16"/>
  <c r="D40" i="16"/>
  <c r="E40" i="16"/>
  <c r="F40" i="16"/>
  <c r="C41" i="16"/>
  <c r="D41" i="16"/>
  <c r="E41" i="16"/>
  <c r="F41" i="16"/>
  <c r="C42" i="16"/>
  <c r="D42" i="16"/>
  <c r="E42" i="16"/>
  <c r="F42" i="16"/>
  <c r="C43" i="16"/>
  <c r="D43" i="16"/>
  <c r="E43" i="16"/>
  <c r="F43" i="16"/>
  <c r="C44" i="16"/>
  <c r="D44" i="16"/>
  <c r="E44" i="16"/>
  <c r="F44" i="16"/>
  <c r="C45" i="16"/>
  <c r="D45" i="16"/>
  <c r="E45" i="16"/>
  <c r="F45" i="16"/>
  <c r="C46" i="16"/>
  <c r="D46" i="16"/>
  <c r="E46" i="16"/>
  <c r="F46" i="16"/>
  <c r="C47" i="16"/>
  <c r="D47" i="16"/>
  <c r="E47" i="16"/>
  <c r="F47" i="16"/>
  <c r="C48" i="16"/>
  <c r="D48" i="16"/>
  <c r="E48" i="16"/>
  <c r="F48" i="16"/>
  <c r="C49" i="16"/>
  <c r="D49" i="16"/>
  <c r="E49" i="16"/>
  <c r="F49" i="16"/>
  <c r="C50" i="16"/>
  <c r="D50" i="16"/>
  <c r="E50" i="16"/>
  <c r="F50" i="16"/>
  <c r="C51" i="16"/>
  <c r="D51" i="16"/>
  <c r="E51" i="16"/>
  <c r="F51" i="16"/>
  <c r="C52" i="16"/>
  <c r="D52" i="16"/>
  <c r="E52" i="16"/>
  <c r="F52" i="16"/>
  <c r="C53" i="16"/>
  <c r="D53" i="16"/>
  <c r="E53" i="16"/>
  <c r="F53" i="16"/>
  <c r="C54" i="16"/>
  <c r="D54" i="16"/>
  <c r="E54" i="16"/>
  <c r="F54" i="16"/>
  <c r="F16" i="16"/>
  <c r="E16" i="16"/>
  <c r="D16" i="16"/>
  <c r="C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16" i="16"/>
  <c r="C30" i="18"/>
  <c r="D30" i="18"/>
  <c r="E30" i="18"/>
  <c r="F30" i="18"/>
  <c r="B30" i="18"/>
  <c r="C29" i="18"/>
  <c r="D29" i="18"/>
  <c r="E29" i="18"/>
  <c r="F29" i="18"/>
  <c r="B29" i="18"/>
  <c r="C28" i="18"/>
  <c r="D28" i="18"/>
  <c r="E28" i="18"/>
  <c r="F28" i="18"/>
  <c r="B28" i="18"/>
  <c r="Y3"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2" i="1"/>
  <c r="H42"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<sst xmlns="http://schemas.openxmlformats.org/spreadsheetml/2006/main" count="448" uniqueCount="202">
  <si>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</si>
  <si>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</si>
  <si>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</si>
  <si>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</si>
  <si>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</si>
  <si>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</si>
  <si>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</si>
  <si>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</si>
  <si>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</si>
  <si>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</si>
  <si>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</si>
  <si>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</si>
  <si>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</si>
  <si>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</si>
  <si>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</si>
  <si>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</si>
  <si>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</si>
  <si>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</si>
  <si>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</si>
  <si>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</si>
  <si>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</si>
  <si>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</si>
  <si>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</si>
  <si>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</si>
  <si>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</si>
  <si>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</si>
  <si>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</si>
  <si>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</si>
  <si>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</si>
  <si>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</si>
  <si>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</si>
  <si>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</si>
  <si>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</si>
  <si>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</si>
  <si>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</si>
  <si>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</si>
  <si>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</si>
  <si>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</si>
  <si>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</si>
  <si>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</si>
  <si>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</si>
  <si>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</si>
  <si>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</si>
  <si>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</si>
  <si>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</si>
  <si>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</si>
  <si>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</si>
  <si>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</si>
  <si>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</si>
  <si>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</si>
  <si>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</si>
  <si>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</si>
  <si>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</si>
  <si>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</si>
  <si>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</si>
  <si>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</si>
  <si>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</si>
  <si>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</si>
  <si>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</si>
  <si>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</si>
  <si>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</si>
  <si>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</si>
  <si>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</si>
  <si>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</si>
  <si>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</si>
  <si>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</si>
  <si>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</si>
  <si>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</si>
  <si>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</si>
  <si>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</si>
  <si>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</si>
  <si>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</si>
  <si>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</si>
  <si>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</si>
  <si>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</si>
  <si>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</si>
  <si>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</si>
  <si>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</si>
  <si>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</si>
  <si>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</si>
  <si>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</si>
  <si>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</si>
  <si>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</si>
  <si>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</si>
  <si>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</si>
  <si>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</si>
  <si>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</si>
  <si>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</si>
  <si>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</si>
  <si>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</si>
  <si>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</si>
  <si>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</si>
  <si>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</si>
  <si>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</si>
  <si>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</si>
  <si>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</si>
  <si>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</si>
  <si>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</si>
  <si>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</si>
  <si>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</si>
  <si>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</si>
  <si>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</si>
  <si>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</si>
  <si>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</si>
  <si>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</si>
  <si>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</si>
  <si>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</si>
  <si>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</si>
  <si>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</si>
  <si>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</si>
  <si>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</si>
  <si>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</si>
  <si>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</si>
  <si>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</si>
  <si>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</si>
  <si>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</si>
  <si>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</si>
  <si>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</si>
  <si>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</si>
  <si>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</si>
  <si>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</si>
  <si>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</si>
  <si>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</si>
  <si>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</si>
  <si>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</si>
  <si>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</si>
  <si>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</si>
  <si>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</si>
  <si>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</si>
  <si>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</si>
  <si>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</si>
  <si>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</si>
  <si>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</si>
  <si>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</si>
  <si>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</si>
  <si>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</si>
  <si>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</si>
  <si>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</si>
  <si>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</si>
  <si>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</si>
  <si>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</si>
  <si>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</si>
  <si>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</si>
  <si>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</si>
  <si>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</si>
  <si>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</si>
  <si>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</si>
  <si>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</si>
  <si>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</si>
  <si>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</si>
  <si>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</si>
  <si>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</si>
  <si>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</si>
  <si>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</si>
  <si>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</si>
  <si>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</si>
  <si>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</si>
  <si>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</si>
  <si>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</si>
  <si>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</si>
  <si>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</si>
  <si>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</si>
  <si>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</si>
  <si>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</si>
  <si>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</si>
  <si>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</si>
  <si>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</si>
  <si>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</si>
  <si>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</si>
  <si>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</si>
  <si>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</si>
  <si>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</si>
  <si>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</si>
  <si>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</si>
  <si>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</si>
  <si>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</si>
  <si>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</si>
  <si>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SUM</t>
  </si>
  <si>
    <t>=SUMIFS(H2:H40,H2:H40, "&gt;20")</t>
  </si>
  <si>
    <t>Dates</t>
  </si>
  <si>
    <t>Row Labels</t>
  </si>
  <si>
    <t>Grand Total</t>
  </si>
  <si>
    <t>Sum of car1</t>
  </si>
  <si>
    <t>Sum of bus2</t>
  </si>
  <si>
    <t>Sum of rv3</t>
  </si>
  <si>
    <t>Sum of truck2</t>
  </si>
  <si>
    <t>Sum of taxi2</t>
  </si>
  <si>
    <t>Text-to-column</t>
  </si>
  <si>
    <t>Formulas</t>
  </si>
  <si>
    <t>Text-to-column, Formulas: For column 1: =LEFT(A16, FIND("-", A16) - 1), For column 3: =MID(A16, FIND("-", A16) + 1, FIND("-", A16, FIND("-", A16) + 1) - FIND("-", A16) - 1), For column 4: =MID(A16, FIND("-", A16, FIND("-", A16) + 1) + 1, FIND("-", A16, FIND("-", A16, FIND("-", A16) + 1) + 1) - FIND("-", A16, FIND("-", A16) + 1) - 1), For column 6: =MID(A16, FIND("-", A16, FIND("-", A16, FIND("-", A16, FIND("-", A16) + 1) + 1) + 1) + 1, LEN(A16) - FIND("-", A16, FIND("-", A16, FIND("-", A16, FIND("-", A16) + 1) + 1) + 1))</t>
  </si>
  <si>
    <t>For column 1: Use formula, "=LEFT(A16, FIND("-", A16) - 1)". Two key text functions are used "Left" and "Find". The FIND function locates the position of the first hyphen in the text of cell A2. The result is subtracted by 1 to ensure that the hyphen itself is not included in the extracted substring. The LEFT function returns a specified number of characters from the beginning of a text string, and in this case, it returns characters starting from the leftmost character up to the position of the first hyphen. Similarly, for the remaining column, use the formula similar to "=MID(A16, FIND("-", A16) + 1, FIND("-", A16, FIND("-", A16) + 1) - FIND("-", A16) - 1)" where the aim is to extract the substring between the first and second hyphens in cell A16. The FIND functions determine the positions of the hyphens, and MID extracts the text between them. The nested FIND functions locate the positions of the hyphens, and MID uses these positions to extract the desired portion of text.</t>
  </si>
  <si>
    <t>Steps: Select the values in the separate sheet and goto Data ribbon, Select the text to column option and use delimeted option. Select the other option and insert "-" symbol as separator and finish to split the values as shown in the task 3 using text to columns sheet.</t>
  </si>
  <si>
    <t>=SUM(IFERROR(C12:C21, 20))</t>
  </si>
  <si>
    <t>The function IFERROR is used to replace the #N/A with the value 20 and then compute the sum.</t>
  </si>
  <si>
    <t>Match name_2</t>
  </si>
  <si>
    <t>Match name_1</t>
  </si>
  <si>
    <t>Match decode 1</t>
  </si>
  <si>
    <t>row_number</t>
  </si>
  <si>
    <t>column_number</t>
  </si>
  <si>
    <t>=INDEX($B$10:$J$18,MATCH(INDEX($M$10:$N$18,MATCH(A23,$M$10:$M$18,0),2),$A$10:$A$18,0),MATCH(INDEX($M$10:$N$18,MATCH(B23,$M$10:$M$18,0),2),$B$9:$J$9,0))</t>
  </si>
  <si>
    <t>Match decode 2</t>
  </si>
  <si>
    <t>Used Match and Index function. I have splited the work in the step by step approach and then combine them to create the above formula. It will help to breakdown the formula. First we need to find the respective name based on the ID. For this use match function and determine the row number at which the values are matching. Then use the number to determine the corresponding name using index function where the column number will 2. Once name is obtained, we need to use this to determine the respective column and row number in table A. Finally use these row number and column number to determine the respective value using Index function as shown below.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</si>
</sst>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71" formatCode="0.0"/>
  </numFmts>
  <fonts count="19"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
      <sz val="10"/>
      <color theme="4" tint="-0.249977111117893"/>
      <name val="Calibri"/>
      <family val="2"/>
      <scheme val="minor"/>
    </font>
  </fonts>
  <fills count="8">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4.9989318521683403E-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55">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1" xfId="0" applyFont="1" applyBorder="1"/>
    <xf numFmtId="0" fontId="12" fillId="0" borderId="0" xfId="1" applyFont="1"/>
    <xf numFmtId="0" fontId="7" fillId="0" borderId="1" xfId="0" applyFont="1" applyBorder="1"/>
    <xf numFmtId="0" fontId="7" fillId="0" borderId="7" xfId="0" applyFont="1" applyBorder="1"/>
    <xf numFmtId="0" fontId="7" fillId="2" borderId="1" xfId="0" applyFont="1" applyFill="1" applyBorder="1"/>
    <xf numFmtId="0" fontId="7" fillId="3" borderId="1" xfId="0" applyFont="1" applyFill="1" applyBorder="1"/>
    <xf numFmtId="0" fontId="7" fillId="2" borderId="9" xfId="0" applyFont="1" applyFill="1" applyBorder="1"/>
    <xf numFmtId="164" fontId="3" fillId="0" borderId="0" xfId="0" applyNumberFormat="1" applyFont="1"/>
    <xf numFmtId="0" fontId="8" fillId="0" borderId="1" xfId="0" applyFont="1" applyBorder="1"/>
    <xf numFmtId="0" fontId="9" fillId="0" borderId="1" xfId="0" applyFont="1" applyBorder="1"/>
    <xf numFmtId="14" fontId="3" fillId="0" borderId="0" xfId="0" applyNumberFormat="1" applyFont="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8" fillId="0" borderId="2" xfId="0" applyFont="1" applyBorder="1"/>
    <xf numFmtId="0" fontId="9" fillId="0" borderId="7" xfId="0" applyFont="1" applyBorder="1"/>
    <xf numFmtId="0" fontId="8" fillId="0" borderId="5" xfId="0" applyFont="1" applyBorder="1"/>
    <xf numFmtId="0" fontId="8" fillId="0" borderId="7"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14" fillId="6" borderId="0" xfId="0" quotePrefix="1" applyFont="1" applyFill="1"/>
    <xf numFmtId="0" fontId="0" fillId="0" borderId="0" xfId="0" pivotButton="1"/>
    <xf numFmtId="0" fontId="0" fillId="0" borderId="0" xfId="0" applyAlignment="1">
      <alignment horizontal="left"/>
    </xf>
    <xf numFmtId="0" fontId="0" fillId="0" borderId="0" xfId="0" applyNumberFormat="1"/>
    <xf numFmtId="171" fontId="3" fillId="5" borderId="1" xfId="0" applyNumberFormat="1" applyFont="1" applyFill="1" applyBorder="1"/>
    <xf numFmtId="0" fontId="3" fillId="0" borderId="0" xfId="0" applyFont="1" applyAlignment="1">
      <alignment horizontal="left" vertical="top" wrapText="1"/>
    </xf>
    <xf numFmtId="0" fontId="15" fillId="0" borderId="0" xfId="0" applyFont="1" applyAlignment="1">
      <alignment horizontal="left" vertical="top" wrapText="1"/>
    </xf>
    <xf numFmtId="0" fontId="3" fillId="0" borderId="0" xfId="0" applyFont="1" applyAlignment="1">
      <alignment horizontal="left" vertical="top"/>
    </xf>
    <xf numFmtId="0" fontId="3" fillId="0" borderId="0" xfId="0" quotePrefix="1" applyFont="1"/>
    <xf numFmtId="0" fontId="8" fillId="0" borderId="0" xfId="0" quotePrefix="1" applyFont="1"/>
    <xf numFmtId="0" fontId="18" fillId="7" borderId="0" xfId="0" applyFont="1" applyFill="1"/>
    <xf numFmtId="0" fontId="3" fillId="6" borderId="9" xfId="0" applyFont="1" applyFill="1" applyBorder="1"/>
    <xf numFmtId="0" fontId="8" fillId="6" borderId="0" xfId="0" quotePrefix="1" applyFont="1" applyFill="1"/>
    <xf numFmtId="0" fontId="8" fillId="0" borderId="0" xfId="0" applyFont="1" applyAlignment="1">
      <alignment horizontal="left" vertical="top" wrapText="1"/>
    </xf>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7">
    <dxf>
      <font>
        <color rgb="FF006100"/>
      </font>
      <fill>
        <patternFill>
          <bgColor rgb="FFC6EF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6"/>
      <tableStyleElement type="headerRow" dxfId="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yan Paritosh" refreshedDate="45270.504298726853" createdVersion="8" refreshedVersion="8" minRefreshableVersion="3" recordCount="39" xr:uid="{F37ED818-E049-49F5-ACA8-FE76B98A1828}">
  <cacheSource type="worksheet">
    <worksheetSource ref="A1:Y40" sheet="Dataset"/>
  </cacheSource>
  <cacheFields count="25">
    <cacheField name="name" numFmtId="0">
      <sharedItems count="39">
        <s v="Warrendale"/>
        <s v="Butler Valley"/>
        <s v="Allegheny Valley"/>
        <s v="Pittsburgh"/>
        <s v="Irwin"/>
        <s v="New Stanton"/>
        <s v="Donegal"/>
        <s v="Somerset"/>
        <s v="Bedford"/>
        <s v="Breezewood"/>
        <s v="Fort Littleton"/>
        <s v="Willow Hill"/>
        <s v="Blue Mountain"/>
        <s v="Carlisle"/>
        <s v="Gettysburg Pike"/>
        <s v="Harrisburg West"/>
        <s v="Harrisburg East"/>
        <s v="Lebanon-Lancaster"/>
        <s v="Reading"/>
        <s v="Morgantown"/>
        <s v="Downingtown"/>
        <s v="S.R. 29"/>
        <s v="Valley Forge"/>
        <s v="Norristown"/>
        <s v="Fort Washington"/>
        <s v="Virginia Drive "/>
        <s v="Willow Grove"/>
        <s v="Bensalem"/>
        <s v="St. Rd "/>
        <s v="Neshaminy Falls"/>
        <s v="Mid-County"/>
        <s v="Lansdale"/>
        <s v="Quakertown"/>
        <s v="Lehigh Valley"/>
        <s v="Mahoning Valley"/>
        <s v="S.R. 903"/>
        <s v="Pocono"/>
        <s v="Wilkes-Barre"/>
        <s v="Wyoming Valley"/>
      </sharedItems>
    </cacheField>
    <cacheField name="ID" numFmtId="0">
      <sharedItems containsSemiMixedTypes="0" containsString="0" containsNumber="1" containsInteger="1" minValue="20000" maxValue="21016"/>
    </cacheField>
    <cacheField name="start_day" numFmtId="0">
      <sharedItems/>
    </cacheField>
    <cacheField name="start_time" numFmtId="164">
      <sharedItems containsSemiMixedTypes="0" containsNonDate="0" containsDate="1" containsString="0" minDate="1899-12-30T00:00:00" maxDate="1899-12-31T00:00:00"/>
    </cacheField>
    <cacheField name="end_day" numFmtId="0">
      <sharedItems/>
    </cacheField>
    <cacheField name="end_time" numFmtId="164">
      <sharedItems containsSemiMixedTypes="0" containsNonDate="0" containsDate="1" containsString="0" minDate="1899-12-30T23:59:59" maxDate="1899-12-30T23:59:59"/>
    </cacheField>
    <cacheField name="car1" numFmtId="0">
      <sharedItems containsSemiMixedTypes="0" containsString="0" containsNumber="1" minValue="-1" maxValue="51.8"/>
    </cacheField>
    <cacheField name="car2" numFmtId="0">
      <sharedItems containsSemiMixedTypes="0" containsString="0" containsNumber="1" minValue="-1" maxValue="77.2"/>
    </cacheField>
    <cacheField name="car3" numFmtId="0">
      <sharedItems containsSemiMixedTypes="0" containsString="0" containsNumber="1" minValue="-1" maxValue="93.1"/>
    </cacheField>
    <cacheField name="moto1" numFmtId="0">
      <sharedItems containsSemiMixedTypes="0" containsString="0" containsNumber="1" containsInteger="1" minValue="-1" maxValue="0"/>
    </cacheField>
    <cacheField name="moto2" numFmtId="0">
      <sharedItems containsSemiMixedTypes="0" containsString="0" containsNumber="1" containsInteger="1" minValue="-1" maxValue="0"/>
    </cacheField>
    <cacheField name="moto3" numFmtId="0">
      <sharedItems containsSemiMixedTypes="0" containsString="0" containsNumber="1" containsInteger="1" minValue="-1" maxValue="0"/>
    </cacheField>
    <cacheField name="bus1" numFmtId="0">
      <sharedItems containsSemiMixedTypes="0" containsString="0" containsNumber="1" minValue="-1" maxValue="104.5"/>
    </cacheField>
    <cacheField name="bus2" numFmtId="0">
      <sharedItems containsSemiMixedTypes="0" containsString="0" containsNumber="1" minValue="-1" maxValue="156.4"/>
    </cacheField>
    <cacheField name="bus3" numFmtId="0">
      <sharedItems containsSemiMixedTypes="0" containsString="0" containsNumber="1" minValue="-1" maxValue="188.1"/>
    </cacheField>
    <cacheField name="rv1" numFmtId="0">
      <sharedItems containsSemiMixedTypes="0" containsString="0" containsNumber="1" minValue="-1" maxValue="51.8"/>
    </cacheField>
    <cacheField name="rv2" numFmtId="0">
      <sharedItems containsSemiMixedTypes="0" containsString="0" containsNumber="1" minValue="-1" maxValue="77.2"/>
    </cacheField>
    <cacheField name="rv3" numFmtId="0">
      <sharedItems containsSemiMixedTypes="0" containsString="0" containsNumber="1" minValue="-1" maxValue="93.1"/>
    </cacheField>
    <cacheField name="truck1" numFmtId="0">
      <sharedItems containsSemiMixedTypes="0" containsString="0" containsNumber="1" minValue="-1" maxValue="156.4"/>
    </cacheField>
    <cacheField name="truck2" numFmtId="0">
      <sharedItems containsSemiMixedTypes="0" containsString="0" containsNumber="1" minValue="-1" maxValue="188.1"/>
    </cacheField>
    <cacheField name="taxi1" numFmtId="0">
      <sharedItems containsSemiMixedTypes="0" containsString="0" containsNumber="1" minValue="-1" maxValue="77.2"/>
    </cacheField>
    <cacheField name="taxi2" numFmtId="0">
      <sharedItems containsSemiMixedTypes="0" containsString="0" containsNumber="1" minValue="-1" maxValue="93.1"/>
    </cacheField>
    <cacheField name="taxi3" numFmtId="0">
      <sharedItems containsSemiMixedTypes="0" containsString="0" containsNumber="1" minValue="-1" maxValue="93.1"/>
    </cacheField>
    <cacheField name="date" numFmtId="14">
      <sharedItems containsSemiMixedTypes="0" containsNonDate="0" containsDate="1" containsString="0" minDate="2023-05-02T00:00:00" maxDate="2023-09-11T00:00:00"/>
    </cacheField>
    <cacheField name="Dates"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
  <r>
    <x v="0"/>
    <n v="20000"/>
    <s v="Monday"/>
    <d v="1899-12-30T00:00:00"/>
    <s v="Sunday"/>
    <d v="1899-12-30T23:59:59"/>
    <n v="2.7"/>
    <n v="3.6"/>
    <n v="4.2"/>
    <n v="-1"/>
    <n v="-1"/>
    <n v="-1"/>
    <n v="5.3"/>
    <n v="7.6"/>
    <n v="8.9"/>
    <n v="2.7"/>
    <n v="3.6"/>
    <n v="4.2"/>
    <n v="7.6"/>
    <n v="8.9"/>
    <n v="3.6"/>
    <n v="4.2"/>
    <n v="4.2"/>
    <d v="2023-05-05T00:00:00"/>
    <s v="2023-05-05"/>
  </r>
  <r>
    <x v="1"/>
    <n v="20002"/>
    <s v="Monday"/>
    <d v="1899-12-30T00:00:00"/>
    <s v="Sunday"/>
    <d v="1899-12-30T23:59:59"/>
    <n v="2.7"/>
    <n v="3.6"/>
    <n v="4.2"/>
    <n v="-1"/>
    <n v="-1"/>
    <n v="-1"/>
    <n v="5.3"/>
    <n v="7.6"/>
    <n v="8.9"/>
    <n v="2.7"/>
    <n v="3.6"/>
    <n v="4.2"/>
    <n v="7.6"/>
    <n v="8.9"/>
    <n v="3.6"/>
    <n v="4.2"/>
    <n v="4.2"/>
    <d v="2023-05-02T00:00:00"/>
    <s v="2023-05-02"/>
  </r>
  <r>
    <x v="2"/>
    <n v="20004"/>
    <s v="Monday"/>
    <d v="1899-12-30T00:00:00"/>
    <s v="Sunday"/>
    <d v="1899-12-30T23:59:59"/>
    <n v="3.6"/>
    <n v="5.4"/>
    <n v="5.8"/>
    <n v="-1"/>
    <n v="-1"/>
    <n v="-1"/>
    <n v="7.6"/>
    <n v="11.1"/>
    <n v="12.2"/>
    <n v="3.6"/>
    <n v="5.4"/>
    <n v="5.8"/>
    <n v="11.1"/>
    <n v="12.2"/>
    <n v="5.4"/>
    <n v="5.8"/>
    <n v="5.8"/>
    <d v="2023-05-09T00:00:00"/>
    <s v="2023-05-09"/>
  </r>
  <r>
    <x v="3"/>
    <n v="20006"/>
    <s v="Monday"/>
    <d v="1899-12-30T00:00:00"/>
    <s v="Sunday"/>
    <d v="1899-12-30T23:59:59"/>
    <n v="4.9000000000000004"/>
    <n v="6.6"/>
    <n v="8.1"/>
    <n v="-1"/>
    <n v="-1"/>
    <n v="-1"/>
    <n v="10"/>
    <n v="13.3"/>
    <n v="17"/>
    <n v="4.9000000000000004"/>
    <n v="6.6"/>
    <n v="8.1"/>
    <n v="13.3"/>
    <n v="17"/>
    <n v="6.6"/>
    <n v="8.1"/>
    <n v="8.1"/>
    <d v="2023-05-13T00:00:00"/>
    <s v="2023-05-13"/>
  </r>
  <r>
    <x v="4"/>
    <n v="20008"/>
    <s v="Monday"/>
    <d v="1899-12-30T00:00:00"/>
    <s v="Sunday"/>
    <d v="1899-12-30T23:59:59"/>
    <n v="6.6"/>
    <n v="8.8000000000000007"/>
    <n v="11"/>
    <n v="-1"/>
    <n v="-1"/>
    <n v="-1"/>
    <n v="13.3"/>
    <n v="18"/>
    <n v="22.5"/>
    <n v="6.6"/>
    <n v="8.8000000000000007"/>
    <n v="11"/>
    <n v="18"/>
    <n v="22.5"/>
    <n v="8.8000000000000007"/>
    <n v="11"/>
    <n v="11"/>
    <d v="2023-05-30T00:00:00"/>
    <s v="2023-05-30"/>
  </r>
  <r>
    <x v="5"/>
    <n v="20010"/>
    <s v="Monday"/>
    <d v="1899-12-30T00:00:00"/>
    <s v="Sunday"/>
    <d v="1899-12-30T23:59:59"/>
    <n v="7.1"/>
    <n v="10.4"/>
    <n v="12.8"/>
    <n v="-1"/>
    <n v="-1"/>
    <n v="-1"/>
    <n v="14.4"/>
    <n v="21.5"/>
    <n v="26.1"/>
    <n v="7.1"/>
    <n v="10.4"/>
    <n v="12.8"/>
    <n v="21.5"/>
    <n v="26.1"/>
    <n v="10.4"/>
    <n v="12.8"/>
    <n v="12.8"/>
    <d v="2023-05-11T00:00:00"/>
    <s v="2023-05-11"/>
  </r>
  <r>
    <x v="6"/>
    <n v="20012"/>
    <s v="Monday"/>
    <d v="1899-12-30T00:00:00"/>
    <s v="Sunday"/>
    <d v="1899-12-30T23:59:59"/>
    <n v="9.4"/>
    <n v="13.8"/>
    <n v="16.100000000000001"/>
    <n v="-1"/>
    <n v="-1"/>
    <n v="-1"/>
    <n v="19.2"/>
    <n v="28.3"/>
    <n v="32.799999999999997"/>
    <n v="9.4"/>
    <n v="13.8"/>
    <n v="16.100000000000001"/>
    <n v="28.3"/>
    <n v="32.799999999999997"/>
    <n v="13.8"/>
    <n v="16.100000000000001"/>
    <n v="16.100000000000001"/>
    <d v="2023-05-06T00:00:00"/>
    <s v="2023-05-06"/>
  </r>
  <r>
    <x v="7"/>
    <n v="20014"/>
    <s v="Monday"/>
    <d v="1899-12-30T00:00:00"/>
    <s v="Sunday"/>
    <d v="1899-12-30T23:59:59"/>
    <n v="11.6"/>
    <n v="17.3"/>
    <n v="21.3"/>
    <n v="-1"/>
    <n v="-1"/>
    <n v="-1"/>
    <n v="23.6"/>
    <n v="35.200000000000003"/>
    <n v="43"/>
    <n v="11.6"/>
    <n v="17.3"/>
    <n v="21.3"/>
    <n v="35.200000000000003"/>
    <n v="43"/>
    <n v="17.3"/>
    <n v="21.3"/>
    <n v="21.3"/>
    <d v="2023-06-21T00:00:00"/>
    <s v="2023-06-21"/>
  </r>
  <r>
    <x v="8"/>
    <n v="20016"/>
    <s v="Monday"/>
    <d v="1899-12-30T00:00:00"/>
    <s v="Sunday"/>
    <d v="1899-12-30T23:59:59"/>
    <n v="16.100000000000001"/>
    <n v="24.1"/>
    <n v="29.1"/>
    <n v="-1"/>
    <n v="-1"/>
    <n v="-1"/>
    <n v="32.799999999999997"/>
    <n v="49"/>
    <n v="59"/>
    <n v="16.100000000000001"/>
    <n v="24.1"/>
    <n v="29.1"/>
    <n v="49"/>
    <n v="59"/>
    <n v="24.1"/>
    <n v="29.1"/>
    <n v="29.1"/>
    <d v="2023-06-15T00:00:00"/>
    <s v="2023-06-15"/>
  </r>
  <r>
    <x v="9"/>
    <n v="20018"/>
    <s v="Monday"/>
    <d v="1899-12-30T00:00:00"/>
    <s v="Sunday"/>
    <d v="1899-12-30T23:59:59"/>
    <n v="18.399999999999999"/>
    <n v="27.5"/>
    <n v="33.799999999999997"/>
    <n v="-1"/>
    <n v="-1"/>
    <n v="-1"/>
    <n v="37.200000000000003"/>
    <n v="55.6"/>
    <n v="67.900000000000006"/>
    <n v="18.399999999999999"/>
    <n v="27.5"/>
    <n v="33.799999999999997"/>
    <n v="55.6"/>
    <n v="67.900000000000006"/>
    <n v="27.5"/>
    <n v="33.799999999999997"/>
    <n v="33.799999999999997"/>
    <d v="2023-06-27T00:00:00"/>
    <s v="2023-06-27"/>
  </r>
  <r>
    <x v="10"/>
    <n v="20020"/>
    <s v="Monday"/>
    <d v="1899-12-30T00:00:00"/>
    <s v="Sunday"/>
    <d v="1899-12-30T23:59:59"/>
    <n v="0"/>
    <n v="0"/>
    <n v="0"/>
    <n v="0"/>
    <n v="0"/>
    <n v="0"/>
    <n v="0"/>
    <n v="0"/>
    <n v="0"/>
    <n v="0"/>
    <n v="0"/>
    <n v="0"/>
    <n v="0"/>
    <n v="0"/>
    <n v="0"/>
    <n v="0"/>
    <n v="0"/>
    <d v="2023-07-09T00:00:00"/>
    <s v="2023-07-09"/>
  </r>
  <r>
    <x v="11"/>
    <n v="20022"/>
    <s v="Monday"/>
    <d v="1899-12-30T00:00:00"/>
    <s v="Sunday"/>
    <d v="1899-12-30T23:59:59"/>
    <n v="21.9"/>
    <n v="32.1"/>
    <n v="40.1"/>
    <n v="-1"/>
    <n v="-1"/>
    <n v="-1"/>
    <n v="42.3"/>
    <n v="61.5"/>
    <n v="76.599999999999994"/>
    <n v="21.9"/>
    <n v="32.1"/>
    <n v="40.1"/>
    <n v="61.5"/>
    <n v="76.599999999999994"/>
    <n v="32.1"/>
    <n v="40.1"/>
    <n v="40.1"/>
    <d v="2023-07-03T00:00:00"/>
    <s v="2023-07-03"/>
  </r>
  <r>
    <x v="12"/>
    <n v="20024"/>
    <s v="Monday"/>
    <d v="1899-12-30T00:00:00"/>
    <s v="Sunday"/>
    <d v="1899-12-30T23:59:59"/>
    <n v="23.5"/>
    <n v="34.700000000000003"/>
    <n v="42.7"/>
    <n v="-1"/>
    <n v="-1"/>
    <n v="-1"/>
    <n v="47.7"/>
    <n v="70.8"/>
    <n v="86.6"/>
    <n v="23.5"/>
    <n v="34.700000000000003"/>
    <n v="42.7"/>
    <n v="70.8"/>
    <n v="86.6"/>
    <n v="34.700000000000003"/>
    <n v="42.7"/>
    <n v="42.7"/>
    <d v="2023-06-18T00:00:00"/>
    <s v="2023-06-18"/>
  </r>
  <r>
    <x v="13"/>
    <n v="20026"/>
    <s v="Monday"/>
    <d v="1899-12-30T00:00:00"/>
    <s v="Sunday"/>
    <d v="1899-12-30T23:59:59"/>
    <n v="26.8"/>
    <n v="39.299999999999997"/>
    <n v="47.9"/>
    <n v="-1"/>
    <n v="-1"/>
    <n v="-1"/>
    <n v="54.6"/>
    <n v="79.599999999999994"/>
    <n v="96.8"/>
    <n v="26.8"/>
    <n v="39.299999999999997"/>
    <n v="47.9"/>
    <n v="79.599999999999994"/>
    <n v="96.8"/>
    <n v="39.299999999999997"/>
    <n v="47.9"/>
    <n v="47.9"/>
    <d v="2023-07-06T00:00:00"/>
    <s v="2023-07-06"/>
  </r>
  <r>
    <x v="14"/>
    <n v="20028"/>
    <s v="Monday"/>
    <d v="1899-12-30T00:00:00"/>
    <s v="Sunday"/>
    <d v="1899-12-30T23:59:59"/>
    <n v="28"/>
    <n v="41"/>
    <n v="50.1"/>
    <n v="-1"/>
    <n v="-1"/>
    <n v="-1"/>
    <n v="56.7"/>
    <n v="83.2"/>
    <n v="101.3"/>
    <n v="28"/>
    <n v="41"/>
    <n v="50.1"/>
    <n v="83.2"/>
    <n v="101.3"/>
    <n v="41"/>
    <n v="50.1"/>
    <n v="50.1"/>
    <d v="2023-05-17T00:00:00"/>
    <s v="2023-05-17"/>
  </r>
  <r>
    <x v="15"/>
    <n v="20030"/>
    <s v="Monday"/>
    <d v="1899-12-30T00:00:00"/>
    <s v="Sunday"/>
    <d v="1899-12-30T23:59:59"/>
    <n v="28.5"/>
    <n v="42.3"/>
    <n v="52.3"/>
    <n v="-1"/>
    <n v="-1"/>
    <n v="-1"/>
    <n v="58.3"/>
    <n v="85.4"/>
    <n v="106.1"/>
    <n v="28.5"/>
    <n v="42.3"/>
    <n v="52.3"/>
    <n v="85.4"/>
    <n v="106.1"/>
    <n v="42.3"/>
    <n v="52.3"/>
    <n v="52.3"/>
    <d v="2023-05-25T00:00:00"/>
    <s v="2023-05-25"/>
  </r>
  <r>
    <x v="16"/>
    <n v="20032"/>
    <s v="Monday"/>
    <d v="1899-12-30T00:00:00"/>
    <s v="Sunday"/>
    <d v="1899-12-30T23:59:59"/>
    <n v="29.1"/>
    <n v="43.3"/>
    <n v="53.7"/>
    <n v="-1"/>
    <n v="-1"/>
    <n v="-1"/>
    <n v="59"/>
    <n v="87.6"/>
    <n v="108.8"/>
    <n v="29.1"/>
    <n v="43.3"/>
    <n v="53.7"/>
    <n v="87.6"/>
    <n v="108.8"/>
    <n v="43.3"/>
    <n v="53.7"/>
    <n v="53.7"/>
    <d v="2023-06-08T00:00:00"/>
    <s v="2023-06-08"/>
  </r>
  <r>
    <x v="17"/>
    <n v="20034"/>
    <s v="Monday"/>
    <d v="1899-12-30T00:00:00"/>
    <s v="Sunday"/>
    <d v="1899-12-30T23:59:59"/>
    <n v="30.7"/>
    <n v="45.5"/>
    <n v="57"/>
    <n v="-1"/>
    <n v="-1"/>
    <n v="-1"/>
    <n v="62.5"/>
    <n v="92.1"/>
    <n v="115.1"/>
    <n v="30.7"/>
    <n v="45.5"/>
    <n v="57"/>
    <n v="92.1"/>
    <n v="115.1"/>
    <n v="45.5"/>
    <n v="57"/>
    <n v="57"/>
    <d v="2023-06-22T00:00:00"/>
    <s v="2023-06-22"/>
  </r>
  <r>
    <x v="18"/>
    <n v="20036"/>
    <s v="Monday"/>
    <d v="1899-12-30T00:00:00"/>
    <s v="Sunday"/>
    <d v="1899-12-30T23:59:59"/>
    <n v="33.799999999999997"/>
    <n v="50.1"/>
    <n v="61.4"/>
    <n v="-1"/>
    <n v="-1"/>
    <n v="-1"/>
    <n v="67.900000000000006"/>
    <n v="101.3"/>
    <n v="124.4"/>
    <n v="33.799999999999997"/>
    <n v="50.1"/>
    <n v="61.4"/>
    <n v="101.3"/>
    <n v="124.4"/>
    <n v="50.1"/>
    <n v="61.4"/>
    <n v="61.4"/>
    <d v="2023-06-14T00:00:00"/>
    <s v="2023-06-14"/>
  </r>
  <r>
    <x v="19"/>
    <n v="20038"/>
    <s v="Monday"/>
    <d v="1899-12-30T00:00:00"/>
    <s v="Sunday"/>
    <d v="1899-12-30T23:59:59"/>
    <n v="34.700000000000003"/>
    <n v="52.3"/>
    <n v="63.6"/>
    <n v="-1"/>
    <n v="-1"/>
    <n v="-1"/>
    <n v="70.8"/>
    <n v="106.1"/>
    <n v="128.6"/>
    <n v="34.700000000000003"/>
    <n v="52.3"/>
    <n v="63.6"/>
    <n v="106.1"/>
    <n v="128.6"/>
    <n v="52.3"/>
    <n v="63.6"/>
    <n v="63.6"/>
    <d v="2023-06-02T00:00:00"/>
    <s v="2023-06-02"/>
  </r>
  <r>
    <x v="20"/>
    <n v="20040"/>
    <s v="Monday"/>
    <d v="1899-12-30T00:00:00"/>
    <s v="Sunday"/>
    <d v="1899-12-30T23:59:59"/>
    <n v="36.5"/>
    <n v="54.6"/>
    <n v="65.900000000000006"/>
    <n v="-1"/>
    <n v="-1"/>
    <n v="-1"/>
    <n v="73.900000000000006"/>
    <n v="110.3"/>
    <n v="133.4"/>
    <n v="36.5"/>
    <n v="54.6"/>
    <n v="65.900000000000006"/>
    <n v="110.3"/>
    <n v="133.4"/>
    <n v="54.6"/>
    <n v="65.900000000000006"/>
    <n v="65.900000000000006"/>
    <d v="2023-05-29T00:00:00"/>
    <s v="2023-05-29"/>
  </r>
  <r>
    <x v="21"/>
    <n v="20042"/>
    <s v="Monday"/>
    <d v="1899-12-30T00:00:00"/>
    <s v="Sunday"/>
    <d v="1899-12-30T23:59:59"/>
    <n v="38"/>
    <n v="57.2"/>
    <n v="68.7"/>
    <n v="-1"/>
    <n v="-1"/>
    <n v="-1"/>
    <n v="76.599999999999994"/>
    <n v="115.5"/>
    <n v="138.80000000000001"/>
    <n v="38"/>
    <n v="57.2"/>
    <n v="68.7"/>
    <n v="115.5"/>
    <n v="138.80000000000001"/>
    <n v="57.2"/>
    <n v="68.7"/>
    <n v="68.7"/>
    <d v="2023-07-03T00:00:00"/>
    <s v="2023-07-03"/>
  </r>
  <r>
    <x v="22"/>
    <n v="20044"/>
    <s v="Monday"/>
    <d v="1899-12-30T00:00:00"/>
    <s v="Sunday"/>
    <d v="1899-12-30T23:59:59"/>
    <n v="38.700000000000003"/>
    <n v="59.2"/>
    <n v="70.400000000000006"/>
    <n v="-1"/>
    <n v="-1"/>
    <n v="-1"/>
    <n v="78.599999999999994"/>
    <n v="119.4"/>
    <n v="142.5"/>
    <n v="38.700000000000003"/>
    <n v="59.2"/>
    <n v="70.400000000000006"/>
    <n v="119.4"/>
    <n v="142.5"/>
    <n v="59.2"/>
    <n v="70.400000000000006"/>
    <n v="70.400000000000006"/>
    <d v="2023-07-07T00:00:00"/>
    <s v="2023-07-07"/>
  </r>
  <r>
    <x v="23"/>
    <n v="20046"/>
    <s v="Monday"/>
    <d v="1899-12-30T00:00:00"/>
    <s v="Sunday"/>
    <d v="1899-12-30T23:59:59"/>
    <n v="40.1"/>
    <n v="59.2"/>
    <n v="72.8"/>
    <n v="-1"/>
    <n v="-1"/>
    <n v="-1"/>
    <n v="80.8"/>
    <n v="119.4"/>
    <n v="146.80000000000001"/>
    <n v="40.1"/>
    <n v="59.2"/>
    <n v="72.8"/>
    <n v="119.4"/>
    <n v="146.80000000000001"/>
    <n v="59.2"/>
    <n v="72.8"/>
    <n v="72.8"/>
    <d v="2023-07-11T00:00:00"/>
    <s v="2023-07-11"/>
  </r>
  <r>
    <x v="24"/>
    <n v="20048"/>
    <s v="Monday"/>
    <d v="1899-12-30T00:00:00"/>
    <s v="Sunday"/>
    <d v="1899-12-30T23:59:59"/>
    <n v="0"/>
    <n v="0"/>
    <n v="0"/>
    <n v="0"/>
    <n v="0"/>
    <n v="0"/>
    <n v="0"/>
    <n v="0"/>
    <n v="0"/>
    <n v="0"/>
    <n v="0"/>
    <n v="0"/>
    <n v="0"/>
    <n v="0"/>
    <n v="0"/>
    <n v="0"/>
    <n v="0"/>
    <d v="2023-08-04T00:00:00"/>
    <s v="2023-08-04"/>
  </r>
  <r>
    <x v="25"/>
    <n v="20050"/>
    <s v="Monday"/>
    <d v="1899-12-30T00:00:00"/>
    <s v="Sunday"/>
    <d v="1899-12-30T23:59:59"/>
    <n v="41.3"/>
    <n v="61.4"/>
    <n v="75"/>
    <n v="-1"/>
    <n v="-1"/>
    <n v="-1"/>
    <n v="83.5"/>
    <n v="124.4"/>
    <n v="151.5"/>
    <n v="41.3"/>
    <n v="61.4"/>
    <n v="75"/>
    <n v="124.4"/>
    <n v="151.5"/>
    <n v="61.4"/>
    <n v="75"/>
    <n v="75"/>
    <d v="2023-08-08T00:00:00"/>
    <s v="2023-08-08"/>
  </r>
  <r>
    <x v="26"/>
    <n v="20052"/>
    <s v="Monday"/>
    <d v="1899-12-30T00:00:00"/>
    <s v="Sunday"/>
    <d v="1899-12-30T23:59:59"/>
    <n v="42.3"/>
    <n v="61.4"/>
    <n v="75"/>
    <n v="-1"/>
    <n v="-1"/>
    <n v="-1"/>
    <n v="85.4"/>
    <n v="124.4"/>
    <n v="151.5"/>
    <n v="42.3"/>
    <n v="61.4"/>
    <n v="75"/>
    <n v="124.4"/>
    <n v="151.5"/>
    <n v="61.4"/>
    <n v="75"/>
    <n v="75"/>
    <d v="2023-07-01T00:00:00"/>
    <s v="2023-07-01"/>
  </r>
  <r>
    <x v="27"/>
    <n v="20054"/>
    <s v="Monday"/>
    <d v="1899-12-30T00:00:00"/>
    <s v="Sunday"/>
    <d v="1899-12-30T23:59:59"/>
    <n v="43.3"/>
    <n v="63.6"/>
    <n v="77.2"/>
    <n v="-1"/>
    <n v="-1"/>
    <n v="-1"/>
    <n v="87.6"/>
    <n v="128.6"/>
    <n v="156.4"/>
    <n v="43.3"/>
    <n v="63.6"/>
    <n v="77.2"/>
    <n v="128.6"/>
    <n v="156.4"/>
    <n v="63.6"/>
    <n v="77.2"/>
    <n v="77.2"/>
    <d v="2023-08-15T00:00:00"/>
    <s v="2023-08-15"/>
  </r>
  <r>
    <x v="28"/>
    <n v="20058"/>
    <s v="Monday"/>
    <d v="1899-12-30T00:00:00"/>
    <s v="Sunday"/>
    <d v="1899-12-30T23:59:59"/>
    <n v="-1"/>
    <n v="-1"/>
    <n v="-1"/>
    <n v="-1"/>
    <n v="-1"/>
    <n v="-1"/>
    <n v="-1"/>
    <n v="-1"/>
    <n v="-1"/>
    <n v="-1"/>
    <n v="-1"/>
    <n v="-1"/>
    <n v="-1"/>
    <n v="-1"/>
    <n v="-1"/>
    <n v="-1"/>
    <n v="-1"/>
    <d v="2023-08-12T00:00:00"/>
    <s v="2023-08-12"/>
  </r>
  <r>
    <x v="29"/>
    <n v="20060"/>
    <s v="Monday"/>
    <d v="1899-12-30T00:00:00"/>
    <s v="Sunday"/>
    <d v="1899-12-30T23:59:59"/>
    <n v="45"/>
    <n v="65.900000000000006"/>
    <n v="79.400000000000006"/>
    <n v="-1"/>
    <n v="-1"/>
    <n v="-1"/>
    <n v="90.9"/>
    <n v="133.4"/>
    <n v="160.9"/>
    <n v="45"/>
    <n v="65.900000000000006"/>
    <n v="79.400000000000006"/>
    <n v="133.4"/>
    <n v="160.9"/>
    <n v="65.900000000000006"/>
    <n v="79.400000000000006"/>
    <n v="79.400000000000006"/>
    <d v="2023-08-19T00:00:00"/>
    <s v="2023-08-19"/>
  </r>
  <r>
    <x v="30"/>
    <n v="21000"/>
    <s v="Monday"/>
    <d v="1899-12-30T00:00:00"/>
    <s v="Sunday"/>
    <d v="1899-12-30T23:59:59"/>
    <n v="-1"/>
    <n v="-1"/>
    <n v="-1"/>
    <n v="-1"/>
    <n v="-1"/>
    <n v="-1"/>
    <n v="-1"/>
    <n v="-1"/>
    <n v="-1"/>
    <n v="-1"/>
    <n v="-1"/>
    <n v="-1"/>
    <n v="-1"/>
    <n v="-1"/>
    <n v="-1"/>
    <n v="-1"/>
    <n v="-1"/>
    <d v="2023-08-05T00:00:00"/>
    <s v="2023-08-05"/>
  </r>
  <r>
    <x v="31"/>
    <n v="21002"/>
    <s v="Monday"/>
    <d v="1899-12-30T00:00:00"/>
    <s v="Sunday"/>
    <d v="1899-12-30T23:59:59"/>
    <n v="41.5"/>
    <n v="61.4"/>
    <n v="75"/>
    <n v="-1"/>
    <n v="-1"/>
    <n v="-1"/>
    <n v="84.6"/>
    <n v="124.4"/>
    <n v="151.5"/>
    <n v="41.5"/>
    <n v="61.4"/>
    <n v="75"/>
    <n v="124.4"/>
    <n v="151.5"/>
    <n v="61.4"/>
    <n v="75"/>
    <n v="75"/>
    <d v="2023-08-28T00:00:00"/>
    <s v="2023-08-28"/>
  </r>
  <r>
    <x v="32"/>
    <n v="21004"/>
    <s v="Monday"/>
    <d v="1899-12-30T00:00:00"/>
    <s v="Sunday"/>
    <d v="1899-12-30T23:59:59"/>
    <n v="43.3"/>
    <n v="63.6"/>
    <n v="79.400000000000006"/>
    <n v="-1"/>
    <n v="-1"/>
    <n v="-1"/>
    <n v="87.6"/>
    <n v="128.6"/>
    <n v="160.9"/>
    <n v="43.3"/>
    <n v="63.6"/>
    <n v="79.400000000000006"/>
    <n v="128.6"/>
    <n v="160.9"/>
    <n v="63.6"/>
    <n v="79.400000000000006"/>
    <n v="79.400000000000006"/>
    <d v="2023-08-24T00:00:00"/>
    <s v="2023-08-24"/>
  </r>
  <r>
    <x v="33"/>
    <n v="21006"/>
    <s v="Monday"/>
    <d v="1899-12-30T00:00:00"/>
    <s v="Sunday"/>
    <d v="1899-12-30T23:59:59"/>
    <n v="44.5"/>
    <n v="65.900000000000006"/>
    <n v="81.8"/>
    <n v="-1"/>
    <n v="-1"/>
    <n v="-1"/>
    <n v="89.9"/>
    <n v="133.4"/>
    <n v="165.3"/>
    <n v="44.5"/>
    <n v="65.900000000000006"/>
    <n v="81.8"/>
    <n v="133.4"/>
    <n v="165.3"/>
    <n v="65.900000000000006"/>
    <n v="81.8"/>
    <n v="81.8"/>
    <d v="2023-08-22T00:00:00"/>
    <s v="2023-08-22"/>
  </r>
  <r>
    <x v="34"/>
    <n v="21008"/>
    <s v="Monday"/>
    <d v="1899-12-30T00:00:00"/>
    <s v="Sunday"/>
    <d v="1899-12-30T23:59:59"/>
    <n v="47.3"/>
    <n v="70.400000000000006"/>
    <n v="86.4"/>
    <n v="-1"/>
    <n v="-1"/>
    <n v="-1"/>
    <n v="95.6"/>
    <n v="142.5"/>
    <n v="174.2"/>
    <n v="47.3"/>
    <n v="70.400000000000006"/>
    <n v="86.4"/>
    <n v="142.5"/>
    <n v="174.2"/>
    <n v="70.400000000000006"/>
    <n v="86.4"/>
    <n v="86.4"/>
    <d v="2023-09-10T00:00:00"/>
    <s v="2023-09-10"/>
  </r>
  <r>
    <x v="35"/>
    <n v="21010"/>
    <s v="Monday"/>
    <d v="1899-12-30T00:00:00"/>
    <s v="Sunday"/>
    <d v="1899-12-30T23:59:59"/>
    <n v="48.3"/>
    <n v="72"/>
    <n v="89"/>
    <n v="-1"/>
    <n v="-1"/>
    <n v="-1"/>
    <n v="97.9"/>
    <n v="145.5"/>
    <n v="179.8"/>
    <n v="48.3"/>
    <n v="72"/>
    <n v="89"/>
    <n v="145.5"/>
    <n v="179.8"/>
    <n v="72"/>
    <n v="89"/>
    <n v="89"/>
    <d v="2023-08-19T00:00:00"/>
    <s v="2023-08-19"/>
  </r>
  <r>
    <x v="36"/>
    <n v="21012"/>
    <s v="Monday"/>
    <d v="1899-12-30T00:00:00"/>
    <s v="Sunday"/>
    <d v="1899-12-30T23:59:59"/>
    <n v="49.1"/>
    <n v="72.8"/>
    <n v="90.9"/>
    <n v="-1"/>
    <n v="-1"/>
    <n v="-1"/>
    <n v="99.5"/>
    <n v="146.80000000000001"/>
    <n v="183.5"/>
    <n v="49.1"/>
    <n v="72.8"/>
    <n v="90.9"/>
    <n v="146.80000000000001"/>
    <n v="183.5"/>
    <n v="72.8"/>
    <n v="90.9"/>
    <n v="90.9"/>
    <d v="2023-08-05T00:00:00"/>
    <s v="2023-08-05"/>
  </r>
  <r>
    <x v="37"/>
    <n v="21014"/>
    <s v="Monday"/>
    <d v="1899-12-30T00:00:00"/>
    <s v="Sunday"/>
    <d v="1899-12-30T23:59:59"/>
    <n v="50.6"/>
    <n v="75"/>
    <n v="93.1"/>
    <n v="-1"/>
    <n v="-1"/>
    <n v="-1"/>
    <n v="102.6"/>
    <n v="151.5"/>
    <n v="188.1"/>
    <n v="50.6"/>
    <n v="75"/>
    <n v="93.1"/>
    <n v="151.5"/>
    <n v="188.1"/>
    <n v="75"/>
    <n v="93.1"/>
    <n v="93.1"/>
    <d v="2023-08-28T00:00:00"/>
    <s v="2023-08-28"/>
  </r>
  <r>
    <x v="38"/>
    <n v="21016"/>
    <s v="Monday"/>
    <d v="1899-12-30T00:00:00"/>
    <s v="Sunday"/>
    <d v="1899-12-30T23:59:59"/>
    <n v="51.8"/>
    <n v="77.2"/>
    <n v="93.1"/>
    <n v="-1"/>
    <n v="-1"/>
    <n v="-1"/>
    <n v="104.5"/>
    <n v="156.4"/>
    <n v="188.1"/>
    <n v="51.8"/>
    <n v="77.2"/>
    <n v="93.1"/>
    <n v="156.4"/>
    <n v="188.1"/>
    <n v="77.2"/>
    <n v="93.1"/>
    <n v="93.1"/>
    <d v="2023-08-24T00:00:00"/>
    <s v="2023-08-2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FCCC3EC-739C-4B93-B0F4-D4F44EA2AB4A}"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F26" firstHeaderRow="0" firstDataRow="1" firstDataCol="1"/>
  <pivotFields count="25">
    <pivotField axis="axisRow" showAll="0">
      <items count="40">
        <item x="2"/>
        <item h="1" x="8"/>
        <item h="1" x="27"/>
        <item h="1" x="12"/>
        <item x="9"/>
        <item x="1"/>
        <item x="13"/>
        <item x="6"/>
        <item h="1" x="20"/>
        <item x="10"/>
        <item x="24"/>
        <item h="1" x="14"/>
        <item h="1" x="16"/>
        <item x="15"/>
        <item h="1" x="4"/>
        <item h="1" x="31"/>
        <item x="17"/>
        <item h="1" x="33"/>
        <item h="1" x="34"/>
        <item x="30"/>
        <item x="19"/>
        <item x="29"/>
        <item h="1" x="5"/>
        <item h="1" x="23"/>
        <item x="3"/>
        <item x="36"/>
        <item x="32"/>
        <item x="18"/>
        <item h="1" x="21"/>
        <item h="1" x="35"/>
        <item x="7"/>
        <item x="28"/>
        <item h="1" x="22"/>
        <item x="25"/>
        <item x="0"/>
        <item h="1" x="37"/>
        <item h="1" x="26"/>
        <item x="11"/>
        <item x="38"/>
        <item t="default"/>
      </items>
    </pivotField>
    <pivotField showAll="0"/>
    <pivotField showAll="0"/>
    <pivotField numFmtId="164" showAll="0"/>
    <pivotField showAll="0"/>
    <pivotField numFmtId="164" showAll="0"/>
    <pivotField dataField="1" showAll="0"/>
    <pivotField showAll="0"/>
    <pivotField showAll="0"/>
    <pivotField showAll="0"/>
    <pivotField showAll="0"/>
    <pivotField showAll="0"/>
    <pivotField showAll="0"/>
    <pivotField dataField="1" showAll="0"/>
    <pivotField showAll="0"/>
    <pivotField showAll="0"/>
    <pivotField showAll="0"/>
    <pivotField dataField="1" showAll="0"/>
    <pivotField showAll="0"/>
    <pivotField dataField="1" showAll="0"/>
    <pivotField showAll="0"/>
    <pivotField dataField="1" showAll="0"/>
    <pivotField showAll="0"/>
    <pivotField numFmtId="14" showAll="0"/>
    <pivotField showAll="0"/>
  </pivotFields>
  <rowFields count="1">
    <field x="0"/>
  </rowFields>
  <rowItems count="23">
    <i>
      <x/>
    </i>
    <i>
      <x v="4"/>
    </i>
    <i>
      <x v="5"/>
    </i>
    <i>
      <x v="6"/>
    </i>
    <i>
      <x v="7"/>
    </i>
    <i>
      <x v="9"/>
    </i>
    <i>
      <x v="10"/>
    </i>
    <i>
      <x v="13"/>
    </i>
    <i>
      <x v="16"/>
    </i>
    <i>
      <x v="19"/>
    </i>
    <i>
      <x v="20"/>
    </i>
    <i>
      <x v="21"/>
    </i>
    <i>
      <x v="24"/>
    </i>
    <i>
      <x v="25"/>
    </i>
    <i>
      <x v="26"/>
    </i>
    <i>
      <x v="27"/>
    </i>
    <i>
      <x v="30"/>
    </i>
    <i>
      <x v="31"/>
    </i>
    <i>
      <x v="33"/>
    </i>
    <i>
      <x v="34"/>
    </i>
    <i>
      <x v="37"/>
    </i>
    <i>
      <x v="38"/>
    </i>
    <i t="grand">
      <x/>
    </i>
  </rowItems>
  <colFields count="1">
    <field x="-2"/>
  </colFields>
  <colItems count="5">
    <i>
      <x/>
    </i>
    <i i="1">
      <x v="1"/>
    </i>
    <i i="2">
      <x v="2"/>
    </i>
    <i i="3">
      <x v="3"/>
    </i>
    <i i="4">
      <x v="4"/>
    </i>
  </colItems>
  <dataFields count="5">
    <dataField name="Sum of car1" fld="6" baseField="0" baseItem="0"/>
    <dataField name="Sum of bus2" fld="13" baseField="0" baseItem="0"/>
    <dataField name="Sum of rv3" fld="17" baseField="0" baseItem="0"/>
    <dataField name="Sum of truck2" fld="19" baseField="0" baseItem="0"/>
    <dataField name="Sum of taxi2" fld="2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election activeCell="A5" sqref="A5"/>
    </sheetView>
  </sheetViews>
  <sheetFormatPr defaultColWidth="11" defaultRowHeight="13" x14ac:dyDescent="0.3"/>
  <cols>
    <col min="1" max="1" width="70.796875" style="2" bestFit="1" customWidth="1"/>
    <col min="2" max="16384" width="11" style="2"/>
  </cols>
  <sheetData>
    <row r="1" spans="1:3" ht="18.5" x14ac:dyDescent="0.45">
      <c r="A1" s="36" t="s">
        <v>108</v>
      </c>
    </row>
    <row r="2" spans="1:3" x14ac:dyDescent="0.3">
      <c r="A2" s="2" t="s">
        <v>109</v>
      </c>
    </row>
    <row r="3" spans="1:3" x14ac:dyDescent="0.3">
      <c r="A3" s="2" t="s">
        <v>110</v>
      </c>
    </row>
    <row r="4" spans="1:3" ht="14.5" x14ac:dyDescent="0.35">
      <c r="A4" s="2" t="s">
        <v>111</v>
      </c>
      <c r="C4" s="1"/>
    </row>
    <row r="5" spans="1:3" x14ac:dyDescent="0.3">
      <c r="A5" s="2" t="s">
        <v>152</v>
      </c>
    </row>
    <row r="8" spans="1:3" x14ac:dyDescent="0.3">
      <c r="A8" s="2" t="s">
        <v>173</v>
      </c>
    </row>
    <row r="9" spans="1:3" x14ac:dyDescent="0.3">
      <c r="A9" s="33" t="s">
        <v>171</v>
      </c>
      <c r="B9" s="23" t="s">
        <v>169</v>
      </c>
    </row>
    <row r="10" spans="1:3" x14ac:dyDescent="0.3">
      <c r="A10" s="32" t="s">
        <v>172</v>
      </c>
      <c r="B10" s="34">
        <v>25</v>
      </c>
    </row>
    <row r="11" spans="1:3" x14ac:dyDescent="0.3">
      <c r="A11" s="32" t="s">
        <v>55</v>
      </c>
      <c r="B11" s="34">
        <v>30</v>
      </c>
    </row>
    <row r="12" spans="1:3" x14ac:dyDescent="0.3">
      <c r="A12" s="32" t="s">
        <v>56</v>
      </c>
      <c r="B12" s="34">
        <v>10</v>
      </c>
    </row>
    <row r="13" spans="1:3" x14ac:dyDescent="0.3">
      <c r="A13" s="32" t="s">
        <v>85</v>
      </c>
      <c r="B13" s="34">
        <v>20</v>
      </c>
    </row>
    <row r="14" spans="1:3" x14ac:dyDescent="0.3">
      <c r="A14" s="32" t="s">
        <v>98</v>
      </c>
      <c r="B14" s="34">
        <v>40</v>
      </c>
    </row>
    <row r="15" spans="1:3" x14ac:dyDescent="0.3">
      <c r="A15" s="35" t="s">
        <v>170</v>
      </c>
      <c r="B15" s="22">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Y42"/>
  <sheetViews>
    <sheetView zoomScaleNormal="100" workbookViewId="0">
      <pane ySplit="1" topLeftCell="A2" activePane="bottomLeft" state="frozen"/>
      <selection pane="bottomLeft" activeCell="G11" sqref="G11"/>
    </sheetView>
  </sheetViews>
  <sheetFormatPr defaultColWidth="9" defaultRowHeight="14.5" x14ac:dyDescent="0.35"/>
  <cols>
    <col min="1" max="1" width="25.3984375" style="1" bestFit="1" customWidth="1"/>
    <col min="2" max="2" width="7.3984375" style="1" bestFit="1" customWidth="1"/>
    <col min="3" max="3" width="9.796875" style="1" bestFit="1" customWidth="1"/>
    <col min="4" max="4" width="11" style="21" customWidth="1"/>
    <col min="5" max="5" width="9.19921875" style="1" bestFit="1" customWidth="1"/>
    <col min="6" max="6" width="10.3984375" style="21" bestFit="1" customWidth="1"/>
    <col min="7" max="9" width="12.796875" style="1" bestFit="1" customWidth="1"/>
    <col min="10" max="12" width="13" style="1" bestFit="1" customWidth="1"/>
    <col min="13" max="15" width="14.19921875" style="1" bestFit="1" customWidth="1"/>
    <col min="16" max="18" width="14.3984375" style="1" bestFit="1" customWidth="1"/>
    <col min="19" max="20" width="18.796875" style="1" bestFit="1" customWidth="1"/>
    <col min="21" max="23" width="19" style="1" bestFit="1" customWidth="1"/>
    <col min="24" max="24" width="11.09765625" style="1" hidden="1" customWidth="1"/>
    <col min="25" max="25" width="11.09765625" style="1" bestFit="1" customWidth="1"/>
    <col min="26" max="16384" width="9" style="1"/>
  </cols>
  <sheetData>
    <row r="1" spans="1:25" s="3" customFormat="1" ht="14.75" customHeight="1" x14ac:dyDescent="0.35">
      <c r="A1" s="25" t="s">
        <v>64</v>
      </c>
      <c r="B1" s="25" t="s">
        <v>43</v>
      </c>
      <c r="C1" s="25" t="s">
        <v>0</v>
      </c>
      <c r="D1" s="26" t="s">
        <v>1</v>
      </c>
      <c r="E1" s="25" t="s">
        <v>2</v>
      </c>
      <c r="F1" s="26" t="s">
        <v>3</v>
      </c>
      <c r="G1" s="27" t="s">
        <v>79</v>
      </c>
      <c r="H1" s="27" t="s">
        <v>65</v>
      </c>
      <c r="I1" s="27" t="s">
        <v>66</v>
      </c>
      <c r="J1" s="28" t="s">
        <v>67</v>
      </c>
      <c r="K1" s="28" t="s">
        <v>68</v>
      </c>
      <c r="L1" s="28" t="s">
        <v>69</v>
      </c>
      <c r="M1" s="27" t="s">
        <v>70</v>
      </c>
      <c r="N1" s="27" t="s">
        <v>71</v>
      </c>
      <c r="O1" s="27" t="s">
        <v>72</v>
      </c>
      <c r="P1" s="28" t="s">
        <v>73</v>
      </c>
      <c r="Q1" s="28" t="s">
        <v>74</v>
      </c>
      <c r="R1" s="28" t="s">
        <v>75</v>
      </c>
      <c r="S1" s="27" t="s">
        <v>80</v>
      </c>
      <c r="T1" s="27" t="s">
        <v>76</v>
      </c>
      <c r="U1" s="28" t="s">
        <v>81</v>
      </c>
      <c r="V1" s="28" t="s">
        <v>77</v>
      </c>
      <c r="W1" s="28" t="s">
        <v>78</v>
      </c>
      <c r="X1" s="3" t="s">
        <v>105</v>
      </c>
      <c r="Y1" s="3" t="s">
        <v>179</v>
      </c>
    </row>
    <row r="2" spans="1:25" x14ac:dyDescent="0.35">
      <c r="A2" s="1" t="s">
        <v>40</v>
      </c>
      <c r="B2" s="1">
        <v>20000</v>
      </c>
      <c r="C2" s="1" t="s">
        <v>5</v>
      </c>
      <c r="D2" s="21">
        <v>0</v>
      </c>
      <c r="E2" s="1" t="s">
        <v>6</v>
      </c>
      <c r="F2" s="21">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24">
        <v>45051</v>
      </c>
      <c r="Y2" s="1" t="str">
        <f>TEXT(X2,"YYYY-MM-DD")</f>
        <v>2023-05-05</v>
      </c>
    </row>
    <row r="3" spans="1:25" x14ac:dyDescent="0.35">
      <c r="A3" s="1" t="s">
        <v>4</v>
      </c>
      <c r="B3" s="1">
        <v>20002</v>
      </c>
      <c r="C3" s="1" t="s">
        <v>5</v>
      </c>
      <c r="D3" s="21">
        <v>0</v>
      </c>
      <c r="E3" s="1" t="s">
        <v>6</v>
      </c>
      <c r="F3" s="21">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24">
        <v>45048</v>
      </c>
      <c r="Y3" s="1" t="str">
        <f t="shared" ref="Y3:Y40" si="0">TEXT(X3,"YYYY-MM-DD")</f>
        <v>2023-05-02</v>
      </c>
    </row>
    <row r="4" spans="1:25" x14ac:dyDescent="0.35">
      <c r="A4" s="1" t="s">
        <v>7</v>
      </c>
      <c r="B4" s="1">
        <v>20004</v>
      </c>
      <c r="C4" s="1" t="s">
        <v>5</v>
      </c>
      <c r="D4" s="21">
        <v>0</v>
      </c>
      <c r="E4" s="1" t="s">
        <v>6</v>
      </c>
      <c r="F4" s="21">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24">
        <v>45055</v>
      </c>
      <c r="Y4" s="1" t="str">
        <f t="shared" si="0"/>
        <v>2023-05-09</v>
      </c>
    </row>
    <row r="5" spans="1:25" x14ac:dyDescent="0.35">
      <c r="A5" s="1" t="s">
        <v>8</v>
      </c>
      <c r="B5" s="1">
        <v>20006</v>
      </c>
      <c r="C5" s="1" t="s">
        <v>5</v>
      </c>
      <c r="D5" s="21">
        <v>0</v>
      </c>
      <c r="E5" s="1" t="s">
        <v>6</v>
      </c>
      <c r="F5" s="21">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24">
        <v>45059</v>
      </c>
      <c r="Y5" s="1" t="str">
        <f t="shared" si="0"/>
        <v>2023-05-13</v>
      </c>
    </row>
    <row r="6" spans="1:25" x14ac:dyDescent="0.35">
      <c r="A6" s="1" t="s">
        <v>9</v>
      </c>
      <c r="B6" s="1">
        <v>20008</v>
      </c>
      <c r="C6" s="1" t="s">
        <v>5</v>
      </c>
      <c r="D6" s="21">
        <v>0</v>
      </c>
      <c r="E6" s="1" t="s">
        <v>6</v>
      </c>
      <c r="F6" s="21">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24">
        <v>45076</v>
      </c>
      <c r="Y6" s="1" t="str">
        <f t="shared" si="0"/>
        <v>2023-05-30</v>
      </c>
    </row>
    <row r="7" spans="1:25" x14ac:dyDescent="0.35">
      <c r="A7" s="1" t="s">
        <v>10</v>
      </c>
      <c r="B7" s="1">
        <v>20010</v>
      </c>
      <c r="C7" s="1" t="s">
        <v>5</v>
      </c>
      <c r="D7" s="21">
        <v>0</v>
      </c>
      <c r="E7" s="1" t="s">
        <v>6</v>
      </c>
      <c r="F7" s="21">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24">
        <v>45057</v>
      </c>
      <c r="Y7" s="1" t="str">
        <f t="shared" si="0"/>
        <v>2023-05-11</v>
      </c>
    </row>
    <row r="8" spans="1:25" x14ac:dyDescent="0.35">
      <c r="A8" s="1" t="s">
        <v>11</v>
      </c>
      <c r="B8" s="1">
        <v>20012</v>
      </c>
      <c r="C8" s="1" t="s">
        <v>5</v>
      </c>
      <c r="D8" s="21">
        <v>0</v>
      </c>
      <c r="E8" s="1" t="s">
        <v>6</v>
      </c>
      <c r="F8" s="21">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24">
        <v>45052</v>
      </c>
      <c r="Y8" s="1" t="str">
        <f t="shared" si="0"/>
        <v>2023-05-06</v>
      </c>
    </row>
    <row r="9" spans="1:25" x14ac:dyDescent="0.35">
      <c r="A9" s="1" t="s">
        <v>12</v>
      </c>
      <c r="B9" s="1">
        <v>20014</v>
      </c>
      <c r="C9" s="1" t="s">
        <v>5</v>
      </c>
      <c r="D9" s="21">
        <v>0</v>
      </c>
      <c r="E9" s="1" t="s">
        <v>6</v>
      </c>
      <c r="F9" s="21">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24">
        <v>45098</v>
      </c>
      <c r="Y9" s="1" t="str">
        <f t="shared" si="0"/>
        <v>2023-06-21</v>
      </c>
    </row>
    <row r="10" spans="1:25" x14ac:dyDescent="0.35">
      <c r="A10" s="1" t="s">
        <v>13</v>
      </c>
      <c r="B10" s="1">
        <v>20016</v>
      </c>
      <c r="C10" s="1" t="s">
        <v>5</v>
      </c>
      <c r="D10" s="21">
        <v>0</v>
      </c>
      <c r="E10" s="1" t="s">
        <v>6</v>
      </c>
      <c r="F10" s="21">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24">
        <v>45092</v>
      </c>
      <c r="Y10" s="1" t="str">
        <f t="shared" si="0"/>
        <v>2023-06-15</v>
      </c>
    </row>
    <row r="11" spans="1:25" x14ac:dyDescent="0.35">
      <c r="A11" s="1" t="s">
        <v>14</v>
      </c>
      <c r="B11" s="1">
        <v>20018</v>
      </c>
      <c r="C11" s="1" t="s">
        <v>5</v>
      </c>
      <c r="D11" s="21">
        <v>0</v>
      </c>
      <c r="E11" s="1" t="s">
        <v>6</v>
      </c>
      <c r="F11" s="21">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24">
        <v>45104</v>
      </c>
      <c r="Y11" s="1" t="str">
        <f t="shared" si="0"/>
        <v>2023-06-27</v>
      </c>
    </row>
    <row r="12" spans="1:25" x14ac:dyDescent="0.35">
      <c r="A12" s="1" t="s">
        <v>15</v>
      </c>
      <c r="B12" s="1">
        <v>20020</v>
      </c>
      <c r="C12" s="1" t="s">
        <v>5</v>
      </c>
      <c r="D12" s="21">
        <v>0</v>
      </c>
      <c r="E12" s="1" t="s">
        <v>6</v>
      </c>
      <c r="F12" s="21">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24">
        <v>45116</v>
      </c>
      <c r="Y12" s="1" t="str">
        <f t="shared" si="0"/>
        <v>2023-07-09</v>
      </c>
    </row>
    <row r="13" spans="1:25" x14ac:dyDescent="0.35">
      <c r="A13" s="1" t="s">
        <v>16</v>
      </c>
      <c r="B13" s="1">
        <v>20022</v>
      </c>
      <c r="C13" s="1" t="s">
        <v>5</v>
      </c>
      <c r="D13" s="21">
        <v>0</v>
      </c>
      <c r="E13" s="1" t="s">
        <v>6</v>
      </c>
      <c r="F13" s="21">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24">
        <v>45110</v>
      </c>
      <c r="Y13" s="1" t="str">
        <f t="shared" si="0"/>
        <v>2023-07-03</v>
      </c>
    </row>
    <row r="14" spans="1:25" x14ac:dyDescent="0.35">
      <c r="A14" s="1" t="s">
        <v>17</v>
      </c>
      <c r="B14" s="1">
        <v>20024</v>
      </c>
      <c r="C14" s="1" t="s">
        <v>5</v>
      </c>
      <c r="D14" s="21">
        <v>0</v>
      </c>
      <c r="E14" s="1" t="s">
        <v>6</v>
      </c>
      <c r="F14" s="21">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24">
        <v>45095</v>
      </c>
      <c r="Y14" s="1" t="str">
        <f t="shared" si="0"/>
        <v>2023-06-18</v>
      </c>
    </row>
    <row r="15" spans="1:25" x14ac:dyDescent="0.35">
      <c r="A15" s="1" t="s">
        <v>18</v>
      </c>
      <c r="B15" s="1">
        <v>20026</v>
      </c>
      <c r="C15" s="1" t="s">
        <v>5</v>
      </c>
      <c r="D15" s="21">
        <v>0</v>
      </c>
      <c r="E15" s="1" t="s">
        <v>6</v>
      </c>
      <c r="F15" s="21">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24">
        <v>45113</v>
      </c>
      <c r="Y15" s="1" t="str">
        <f t="shared" si="0"/>
        <v>2023-07-06</v>
      </c>
    </row>
    <row r="16" spans="1:25" x14ac:dyDescent="0.35">
      <c r="A16" s="1" t="s">
        <v>19</v>
      </c>
      <c r="B16" s="1">
        <v>20028</v>
      </c>
      <c r="C16" s="1" t="s">
        <v>5</v>
      </c>
      <c r="D16" s="21">
        <v>0</v>
      </c>
      <c r="E16" s="1" t="s">
        <v>6</v>
      </c>
      <c r="F16" s="21">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24">
        <v>45063</v>
      </c>
      <c r="Y16" s="1" t="str">
        <f t="shared" si="0"/>
        <v>2023-05-17</v>
      </c>
    </row>
    <row r="17" spans="1:25" x14ac:dyDescent="0.35">
      <c r="A17" s="1" t="s">
        <v>20</v>
      </c>
      <c r="B17" s="1">
        <v>20030</v>
      </c>
      <c r="C17" s="1" t="s">
        <v>5</v>
      </c>
      <c r="D17" s="21">
        <v>0</v>
      </c>
      <c r="E17" s="1" t="s">
        <v>6</v>
      </c>
      <c r="F17" s="21">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24">
        <v>45071</v>
      </c>
      <c r="Y17" s="1" t="str">
        <f t="shared" si="0"/>
        <v>2023-05-25</v>
      </c>
    </row>
    <row r="18" spans="1:25" x14ac:dyDescent="0.35">
      <c r="A18" s="1" t="s">
        <v>21</v>
      </c>
      <c r="B18" s="1">
        <v>20032</v>
      </c>
      <c r="C18" s="1" t="s">
        <v>5</v>
      </c>
      <c r="D18" s="21">
        <v>0</v>
      </c>
      <c r="E18" s="1" t="s">
        <v>6</v>
      </c>
      <c r="F18" s="21">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24">
        <v>45085</v>
      </c>
      <c r="Y18" s="1" t="str">
        <f t="shared" si="0"/>
        <v>2023-06-08</v>
      </c>
    </row>
    <row r="19" spans="1:25" x14ac:dyDescent="0.35">
      <c r="A19" s="1" t="s">
        <v>22</v>
      </c>
      <c r="B19" s="1">
        <v>20034</v>
      </c>
      <c r="C19" s="1" t="s">
        <v>5</v>
      </c>
      <c r="D19" s="21">
        <v>0</v>
      </c>
      <c r="E19" s="1" t="s">
        <v>6</v>
      </c>
      <c r="F19" s="21">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24">
        <v>45099</v>
      </c>
      <c r="Y19" s="1" t="str">
        <f t="shared" si="0"/>
        <v>2023-06-22</v>
      </c>
    </row>
    <row r="20" spans="1:25" x14ac:dyDescent="0.35">
      <c r="A20" s="1" t="s">
        <v>23</v>
      </c>
      <c r="B20" s="1">
        <v>20036</v>
      </c>
      <c r="C20" s="1" t="s">
        <v>5</v>
      </c>
      <c r="D20" s="21">
        <v>0</v>
      </c>
      <c r="E20" s="1" t="s">
        <v>6</v>
      </c>
      <c r="F20" s="21">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24">
        <v>45091</v>
      </c>
      <c r="Y20" s="1" t="str">
        <f t="shared" si="0"/>
        <v>2023-06-14</v>
      </c>
    </row>
    <row r="21" spans="1:25" x14ac:dyDescent="0.35">
      <c r="A21" s="1" t="s">
        <v>24</v>
      </c>
      <c r="B21" s="1">
        <v>20038</v>
      </c>
      <c r="C21" s="1" t="s">
        <v>5</v>
      </c>
      <c r="D21" s="21">
        <v>0</v>
      </c>
      <c r="E21" s="1" t="s">
        <v>6</v>
      </c>
      <c r="F21" s="21">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24">
        <v>45079</v>
      </c>
      <c r="Y21" s="1" t="str">
        <f t="shared" si="0"/>
        <v>2023-06-02</v>
      </c>
    </row>
    <row r="22" spans="1:25" x14ac:dyDescent="0.35">
      <c r="A22" s="1" t="s">
        <v>25</v>
      </c>
      <c r="B22" s="1">
        <v>20040</v>
      </c>
      <c r="C22" s="1" t="s">
        <v>5</v>
      </c>
      <c r="D22" s="21">
        <v>0</v>
      </c>
      <c r="E22" s="1" t="s">
        <v>6</v>
      </c>
      <c r="F22" s="21">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24">
        <v>45075</v>
      </c>
      <c r="Y22" s="1" t="str">
        <f t="shared" si="0"/>
        <v>2023-05-29</v>
      </c>
    </row>
    <row r="23" spans="1:25" x14ac:dyDescent="0.35">
      <c r="A23" s="1" t="s">
        <v>41</v>
      </c>
      <c r="B23" s="1">
        <v>20042</v>
      </c>
      <c r="C23" s="1" t="s">
        <v>5</v>
      </c>
      <c r="D23" s="21">
        <v>0</v>
      </c>
      <c r="E23" s="1" t="s">
        <v>6</v>
      </c>
      <c r="F23" s="21">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24">
        <v>45110</v>
      </c>
      <c r="Y23" s="1" t="str">
        <f t="shared" si="0"/>
        <v>2023-07-03</v>
      </c>
    </row>
    <row r="24" spans="1:25" x14ac:dyDescent="0.35">
      <c r="A24" s="1" t="s">
        <v>26</v>
      </c>
      <c r="B24" s="1">
        <v>20044</v>
      </c>
      <c r="C24" s="1" t="s">
        <v>5</v>
      </c>
      <c r="D24" s="21">
        <v>0</v>
      </c>
      <c r="E24" s="1" t="s">
        <v>6</v>
      </c>
      <c r="F24" s="21">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24">
        <v>45114</v>
      </c>
      <c r="Y24" s="1" t="str">
        <f t="shared" si="0"/>
        <v>2023-07-07</v>
      </c>
    </row>
    <row r="25" spans="1:25" x14ac:dyDescent="0.35">
      <c r="A25" s="1" t="s">
        <v>27</v>
      </c>
      <c r="B25" s="1">
        <v>20046</v>
      </c>
      <c r="C25" s="1" t="s">
        <v>5</v>
      </c>
      <c r="D25" s="21">
        <v>0</v>
      </c>
      <c r="E25" s="1" t="s">
        <v>6</v>
      </c>
      <c r="F25" s="21">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24">
        <v>45118</v>
      </c>
      <c r="Y25" s="1" t="str">
        <f t="shared" si="0"/>
        <v>2023-07-11</v>
      </c>
    </row>
    <row r="26" spans="1:25" x14ac:dyDescent="0.35">
      <c r="A26" s="1" t="s">
        <v>28</v>
      </c>
      <c r="B26" s="1">
        <v>20048</v>
      </c>
      <c r="C26" s="1" t="s">
        <v>5</v>
      </c>
      <c r="D26" s="21">
        <v>0</v>
      </c>
      <c r="E26" s="1" t="s">
        <v>6</v>
      </c>
      <c r="F26" s="21">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24">
        <v>45142</v>
      </c>
      <c r="Y26" s="1" t="str">
        <f t="shared" si="0"/>
        <v>2023-08-04</v>
      </c>
    </row>
    <row r="27" spans="1:25" x14ac:dyDescent="0.35">
      <c r="A27" s="1" t="s">
        <v>57</v>
      </c>
      <c r="B27" s="1">
        <v>20050</v>
      </c>
      <c r="C27" s="1" t="s">
        <v>5</v>
      </c>
      <c r="D27" s="21">
        <v>0</v>
      </c>
      <c r="E27" s="1" t="s">
        <v>6</v>
      </c>
      <c r="F27" s="21">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24">
        <v>45146</v>
      </c>
      <c r="Y27" s="1" t="str">
        <f t="shared" si="0"/>
        <v>2023-08-08</v>
      </c>
    </row>
    <row r="28" spans="1:25" x14ac:dyDescent="0.35">
      <c r="A28" s="1" t="s">
        <v>29</v>
      </c>
      <c r="B28" s="1">
        <v>20052</v>
      </c>
      <c r="C28" s="1" t="s">
        <v>5</v>
      </c>
      <c r="D28" s="21">
        <v>0</v>
      </c>
      <c r="E28" s="1" t="s">
        <v>6</v>
      </c>
      <c r="F28" s="21">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24">
        <v>45108</v>
      </c>
      <c r="Y28" s="1" t="str">
        <f t="shared" si="0"/>
        <v>2023-07-01</v>
      </c>
    </row>
    <row r="29" spans="1:25" x14ac:dyDescent="0.35">
      <c r="A29" s="1" t="s">
        <v>30</v>
      </c>
      <c r="B29" s="1">
        <v>20054</v>
      </c>
      <c r="C29" s="1" t="s">
        <v>5</v>
      </c>
      <c r="D29" s="21">
        <v>0</v>
      </c>
      <c r="E29" s="1" t="s">
        <v>6</v>
      </c>
      <c r="F29" s="21">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24">
        <v>45153</v>
      </c>
      <c r="Y29" s="1" t="str">
        <f t="shared" si="0"/>
        <v>2023-08-15</v>
      </c>
    </row>
    <row r="30" spans="1:25" x14ac:dyDescent="0.35">
      <c r="A30" s="1" t="s">
        <v>58</v>
      </c>
      <c r="B30" s="1">
        <v>20058</v>
      </c>
      <c r="C30" s="1" t="s">
        <v>5</v>
      </c>
      <c r="D30" s="21">
        <v>0</v>
      </c>
      <c r="E30" s="1" t="s">
        <v>6</v>
      </c>
      <c r="F30" s="21">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24">
        <v>45150</v>
      </c>
      <c r="Y30" s="1" t="str">
        <f t="shared" si="0"/>
        <v>2023-08-12</v>
      </c>
    </row>
    <row r="31" spans="1:25" x14ac:dyDescent="0.35">
      <c r="A31" s="1" t="s">
        <v>31</v>
      </c>
      <c r="B31" s="1">
        <v>20060</v>
      </c>
      <c r="C31" s="1" t="s">
        <v>5</v>
      </c>
      <c r="D31" s="21">
        <v>0</v>
      </c>
      <c r="E31" s="1" t="s">
        <v>6</v>
      </c>
      <c r="F31" s="21">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24">
        <v>45157</v>
      </c>
      <c r="Y31" s="1" t="str">
        <f t="shared" si="0"/>
        <v>2023-08-19</v>
      </c>
    </row>
    <row r="32" spans="1:25" x14ac:dyDescent="0.35">
      <c r="A32" s="1" t="s">
        <v>32</v>
      </c>
      <c r="B32" s="1">
        <v>21000</v>
      </c>
      <c r="C32" s="1" t="s">
        <v>5</v>
      </c>
      <c r="D32" s="21">
        <v>0</v>
      </c>
      <c r="E32" s="1" t="s">
        <v>6</v>
      </c>
      <c r="F32" s="21">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24">
        <v>45143</v>
      </c>
      <c r="Y32" s="1" t="str">
        <f t="shared" si="0"/>
        <v>2023-08-05</v>
      </c>
    </row>
    <row r="33" spans="1:25" x14ac:dyDescent="0.35">
      <c r="A33" s="1" t="s">
        <v>33</v>
      </c>
      <c r="B33" s="1">
        <v>21002</v>
      </c>
      <c r="C33" s="1" t="s">
        <v>5</v>
      </c>
      <c r="D33" s="21">
        <v>0</v>
      </c>
      <c r="E33" s="1" t="s">
        <v>6</v>
      </c>
      <c r="F33" s="21">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24">
        <v>45166</v>
      </c>
      <c r="Y33" s="1" t="str">
        <f t="shared" si="0"/>
        <v>2023-08-28</v>
      </c>
    </row>
    <row r="34" spans="1:25" x14ac:dyDescent="0.35">
      <c r="A34" s="1" t="s">
        <v>34</v>
      </c>
      <c r="B34" s="1">
        <v>21004</v>
      </c>
      <c r="C34" s="1" t="s">
        <v>5</v>
      </c>
      <c r="D34" s="21">
        <v>0</v>
      </c>
      <c r="E34" s="1" t="s">
        <v>6</v>
      </c>
      <c r="F34" s="21">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24">
        <v>45162</v>
      </c>
      <c r="Y34" s="1" t="str">
        <f t="shared" si="0"/>
        <v>2023-08-24</v>
      </c>
    </row>
    <row r="35" spans="1:25" x14ac:dyDescent="0.35">
      <c r="A35" s="1" t="s">
        <v>35</v>
      </c>
      <c r="B35" s="1">
        <v>21006</v>
      </c>
      <c r="C35" s="1" t="s">
        <v>5</v>
      </c>
      <c r="D35" s="21">
        <v>0</v>
      </c>
      <c r="E35" s="1" t="s">
        <v>6</v>
      </c>
      <c r="F35" s="21">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24">
        <v>45160</v>
      </c>
      <c r="Y35" s="1" t="str">
        <f t="shared" si="0"/>
        <v>2023-08-22</v>
      </c>
    </row>
    <row r="36" spans="1:25" x14ac:dyDescent="0.35">
      <c r="A36" s="1" t="s">
        <v>36</v>
      </c>
      <c r="B36" s="1">
        <v>21008</v>
      </c>
      <c r="C36" s="1" t="s">
        <v>5</v>
      </c>
      <c r="D36" s="21">
        <v>0</v>
      </c>
      <c r="E36" s="1" t="s">
        <v>6</v>
      </c>
      <c r="F36" s="21">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24">
        <v>45179</v>
      </c>
      <c r="Y36" s="1" t="str">
        <f t="shared" si="0"/>
        <v>2023-09-10</v>
      </c>
    </row>
    <row r="37" spans="1:25" x14ac:dyDescent="0.35">
      <c r="A37" s="1" t="s">
        <v>42</v>
      </c>
      <c r="B37" s="1">
        <v>21010</v>
      </c>
      <c r="C37" s="1" t="s">
        <v>5</v>
      </c>
      <c r="D37" s="21">
        <v>0</v>
      </c>
      <c r="E37" s="1" t="s">
        <v>6</v>
      </c>
      <c r="F37" s="21">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24">
        <v>45157</v>
      </c>
      <c r="Y37" s="1" t="str">
        <f t="shared" si="0"/>
        <v>2023-08-19</v>
      </c>
    </row>
    <row r="38" spans="1:25" x14ac:dyDescent="0.35">
      <c r="A38" s="1" t="s">
        <v>37</v>
      </c>
      <c r="B38" s="1">
        <v>21012</v>
      </c>
      <c r="C38" s="1" t="s">
        <v>5</v>
      </c>
      <c r="D38" s="21">
        <v>0</v>
      </c>
      <c r="E38" s="1" t="s">
        <v>6</v>
      </c>
      <c r="F38" s="21">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24">
        <v>45143</v>
      </c>
      <c r="Y38" s="1" t="str">
        <f t="shared" si="0"/>
        <v>2023-08-05</v>
      </c>
    </row>
    <row r="39" spans="1:25" x14ac:dyDescent="0.35">
      <c r="A39" s="1" t="s">
        <v>38</v>
      </c>
      <c r="B39" s="1">
        <v>21014</v>
      </c>
      <c r="C39" s="1" t="s">
        <v>5</v>
      </c>
      <c r="D39" s="21">
        <v>0</v>
      </c>
      <c r="E39" s="1" t="s">
        <v>6</v>
      </c>
      <c r="F39" s="21">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24">
        <v>45166</v>
      </c>
      <c r="Y39" s="1" t="str">
        <f t="shared" si="0"/>
        <v>2023-08-28</v>
      </c>
    </row>
    <row r="40" spans="1:25" x14ac:dyDescent="0.35">
      <c r="A40" s="1" t="s">
        <v>39</v>
      </c>
      <c r="B40" s="1">
        <v>21016</v>
      </c>
      <c r="C40" s="1" t="s">
        <v>5</v>
      </c>
      <c r="D40" s="21">
        <v>0</v>
      </c>
      <c r="E40" s="1" t="s">
        <v>6</v>
      </c>
      <c r="F40" s="21">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24">
        <v>45162</v>
      </c>
      <c r="Y40" s="1" t="str">
        <f t="shared" si="0"/>
        <v>2023-08-24</v>
      </c>
    </row>
    <row r="42" spans="1:25" x14ac:dyDescent="0.35">
      <c r="G42" s="1" t="s">
        <v>177</v>
      </c>
      <c r="H42" s="1">
        <f>SUMIFS(H2:H40,H2:H40, "&gt;20")</f>
        <v>1473.0000000000002</v>
      </c>
    </row>
  </sheetData>
  <conditionalFormatting sqref="A1:A1048576">
    <cfRule type="duplicateValues" dxfId="4" priority="5"/>
  </conditionalFormatting>
  <conditionalFormatting sqref="B1:B1048576">
    <cfRule type="duplicateValues" dxfId="3" priority="4"/>
  </conditionalFormatting>
  <conditionalFormatting sqref="E6">
    <cfRule type="cellIs" dxfId="2" priority="3" operator="equal">
      <formula>-1</formula>
    </cfRule>
  </conditionalFormatting>
  <conditionalFormatting sqref="A1:X40">
    <cfRule type="cellIs" dxfId="1" priority="1" operator="equal">
      <formula>-1</formula>
    </cfRule>
    <cfRule type="cellIs" dxfId="0" priority="2" operator="equal">
      <formula>0</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zoomScaleNormal="100" workbookViewId="0">
      <selection activeCell="C6" sqref="C6"/>
    </sheetView>
  </sheetViews>
  <sheetFormatPr defaultColWidth="11" defaultRowHeight="14.5" x14ac:dyDescent="0.35"/>
  <cols>
    <col min="1" max="1" width="8.3984375" style="1" bestFit="1" customWidth="1"/>
    <col min="2" max="2" width="65.796875" style="1" bestFit="1" customWidth="1"/>
    <col min="3" max="3" width="27.59765625" style="1" bestFit="1" customWidth="1"/>
    <col min="4" max="4" width="11" style="1"/>
    <col min="5" max="5" width="14.3984375" style="1" bestFit="1" customWidth="1"/>
    <col min="6" max="16384" width="11" style="1"/>
  </cols>
  <sheetData>
    <row r="1" spans="1:5" x14ac:dyDescent="0.35">
      <c r="A1" s="4" t="s">
        <v>47</v>
      </c>
      <c r="B1" s="4" t="s">
        <v>48</v>
      </c>
      <c r="C1" s="4" t="s">
        <v>44</v>
      </c>
      <c r="E1" s="4" t="s">
        <v>176</v>
      </c>
    </row>
    <row r="2" spans="1:5" x14ac:dyDescent="0.35">
      <c r="A2" s="2"/>
      <c r="B2" s="5" t="s">
        <v>160</v>
      </c>
      <c r="C2" s="2"/>
    </row>
    <row r="3" spans="1:5" x14ac:dyDescent="0.35">
      <c r="A3" s="6">
        <v>1</v>
      </c>
      <c r="B3" s="2" t="s">
        <v>107</v>
      </c>
      <c r="C3" s="2" t="s">
        <v>45</v>
      </c>
      <c r="E3" s="1">
        <v>5</v>
      </c>
    </row>
    <row r="4" spans="1:5" x14ac:dyDescent="0.35">
      <c r="A4" s="6">
        <v>2</v>
      </c>
      <c r="B4" s="2" t="s">
        <v>46</v>
      </c>
      <c r="C4" s="2"/>
      <c r="E4" s="1">
        <v>5</v>
      </c>
    </row>
    <row r="5" spans="1:5" x14ac:dyDescent="0.35">
      <c r="A5" s="6">
        <v>3</v>
      </c>
      <c r="B5" s="2" t="s">
        <v>104</v>
      </c>
      <c r="C5" s="41" t="s">
        <v>178</v>
      </c>
      <c r="E5" s="1">
        <v>10</v>
      </c>
    </row>
    <row r="6" spans="1:5" x14ac:dyDescent="0.35">
      <c r="A6" s="6">
        <v>4</v>
      </c>
      <c r="B6" s="2" t="s">
        <v>106</v>
      </c>
      <c r="C6" s="2"/>
      <c r="E6" s="1">
        <v>5</v>
      </c>
    </row>
    <row r="7" spans="1:5" x14ac:dyDescent="0.35">
      <c r="A7" s="2"/>
      <c r="B7" s="2"/>
      <c r="C7" s="2"/>
    </row>
    <row r="13" spans="1:5" x14ac:dyDescent="0.35">
      <c r="E13" s="2"/>
    </row>
    <row r="14" spans="1:5" x14ac:dyDescent="0.35">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C5E39-3217-49B7-8B8E-0F38CB0CEC78}">
  <dimension ref="A3:M26"/>
  <sheetViews>
    <sheetView workbookViewId="0">
      <selection activeCell="B4" sqref="B4:F25"/>
    </sheetView>
  </sheetViews>
  <sheetFormatPr defaultRowHeight="13" x14ac:dyDescent="0.3"/>
  <cols>
    <col min="1" max="1" width="16" bestFit="1" customWidth="1"/>
    <col min="2" max="2" width="10.8984375" bestFit="1" customWidth="1"/>
    <col min="3" max="3" width="11" bestFit="1" customWidth="1"/>
    <col min="4" max="4" width="10" bestFit="1" customWidth="1"/>
    <col min="5" max="5" width="12.69921875" bestFit="1" customWidth="1"/>
    <col min="6" max="6" width="11.3984375" bestFit="1" customWidth="1"/>
  </cols>
  <sheetData>
    <row r="3" spans="1:13" x14ac:dyDescent="0.3">
      <c r="A3" s="42" t="s">
        <v>180</v>
      </c>
      <c r="B3" t="s">
        <v>182</v>
      </c>
      <c r="C3" t="s">
        <v>183</v>
      </c>
      <c r="D3" t="s">
        <v>184</v>
      </c>
      <c r="E3" t="s">
        <v>185</v>
      </c>
      <c r="F3" t="s">
        <v>186</v>
      </c>
    </row>
    <row r="4" spans="1:13" ht="14.5" x14ac:dyDescent="0.35">
      <c r="A4" s="43" t="s">
        <v>7</v>
      </c>
      <c r="B4" s="44">
        <v>3.6</v>
      </c>
      <c r="C4" s="44">
        <v>11.1</v>
      </c>
      <c r="D4" s="44">
        <v>5.8</v>
      </c>
      <c r="E4" s="44">
        <v>12.2</v>
      </c>
      <c r="F4" s="44">
        <v>5.8</v>
      </c>
      <c r="K4" s="7"/>
      <c r="M4" s="7"/>
    </row>
    <row r="5" spans="1:13" ht="14.5" x14ac:dyDescent="0.35">
      <c r="A5" s="43" t="s">
        <v>14</v>
      </c>
      <c r="B5" s="44">
        <v>18.399999999999999</v>
      </c>
      <c r="C5" s="44">
        <v>55.6</v>
      </c>
      <c r="D5" s="44">
        <v>33.799999999999997</v>
      </c>
      <c r="E5" s="44">
        <v>67.900000000000006</v>
      </c>
      <c r="F5" s="44">
        <v>33.799999999999997</v>
      </c>
      <c r="K5" s="7"/>
      <c r="M5" s="7"/>
    </row>
    <row r="6" spans="1:13" ht="14.5" x14ac:dyDescent="0.35">
      <c r="A6" s="43" t="s">
        <v>4</v>
      </c>
      <c r="B6" s="44">
        <v>2.7</v>
      </c>
      <c r="C6" s="44">
        <v>7.6</v>
      </c>
      <c r="D6" s="44">
        <v>4.2</v>
      </c>
      <c r="E6" s="44">
        <v>8.9</v>
      </c>
      <c r="F6" s="44">
        <v>4.2</v>
      </c>
      <c r="K6" s="7"/>
      <c r="M6" s="7"/>
    </row>
    <row r="7" spans="1:13" ht="14.5" x14ac:dyDescent="0.35">
      <c r="A7" s="43" t="s">
        <v>18</v>
      </c>
      <c r="B7" s="44">
        <v>26.8</v>
      </c>
      <c r="C7" s="44">
        <v>79.599999999999994</v>
      </c>
      <c r="D7" s="44">
        <v>47.9</v>
      </c>
      <c r="E7" s="44">
        <v>96.8</v>
      </c>
      <c r="F7" s="44">
        <v>47.9</v>
      </c>
      <c r="K7" s="7"/>
      <c r="M7" s="7"/>
    </row>
    <row r="8" spans="1:13" ht="14.5" x14ac:dyDescent="0.35">
      <c r="A8" s="43" t="s">
        <v>11</v>
      </c>
      <c r="B8" s="44">
        <v>9.4</v>
      </c>
      <c r="C8" s="44">
        <v>28.3</v>
      </c>
      <c r="D8" s="44">
        <v>16.100000000000001</v>
      </c>
      <c r="E8" s="44">
        <v>32.799999999999997</v>
      </c>
      <c r="F8" s="44">
        <v>16.100000000000001</v>
      </c>
      <c r="K8" s="7"/>
      <c r="M8" s="7"/>
    </row>
    <row r="9" spans="1:13" ht="14.5" x14ac:dyDescent="0.35">
      <c r="A9" s="43" t="s">
        <v>15</v>
      </c>
      <c r="B9" s="44">
        <v>0</v>
      </c>
      <c r="C9" s="44">
        <v>0</v>
      </c>
      <c r="D9" s="44">
        <v>0</v>
      </c>
      <c r="E9" s="44">
        <v>0</v>
      </c>
      <c r="F9" s="44">
        <v>0</v>
      </c>
      <c r="K9" s="7"/>
      <c r="M9" s="7"/>
    </row>
    <row r="10" spans="1:13" ht="14.5" x14ac:dyDescent="0.35">
      <c r="A10" s="43" t="s">
        <v>28</v>
      </c>
      <c r="B10" s="44">
        <v>0</v>
      </c>
      <c r="C10" s="44">
        <v>0</v>
      </c>
      <c r="D10" s="44">
        <v>0</v>
      </c>
      <c r="E10" s="44">
        <v>0</v>
      </c>
      <c r="F10" s="44">
        <v>0</v>
      </c>
      <c r="K10" s="7"/>
      <c r="M10" s="7"/>
    </row>
    <row r="11" spans="1:13" ht="14.5" x14ac:dyDescent="0.35">
      <c r="A11" s="43" t="s">
        <v>20</v>
      </c>
      <c r="B11" s="44">
        <v>28.5</v>
      </c>
      <c r="C11" s="44">
        <v>85.4</v>
      </c>
      <c r="D11" s="44">
        <v>52.3</v>
      </c>
      <c r="E11" s="44">
        <v>106.1</v>
      </c>
      <c r="F11" s="44">
        <v>52.3</v>
      </c>
      <c r="K11" s="7"/>
    </row>
    <row r="12" spans="1:13" ht="14.5" x14ac:dyDescent="0.35">
      <c r="A12" s="43" t="s">
        <v>22</v>
      </c>
      <c r="B12" s="44">
        <v>30.7</v>
      </c>
      <c r="C12" s="44">
        <v>92.1</v>
      </c>
      <c r="D12" s="44">
        <v>57</v>
      </c>
      <c r="E12" s="44">
        <v>115.1</v>
      </c>
      <c r="F12" s="44">
        <v>57</v>
      </c>
      <c r="K12" s="7"/>
    </row>
    <row r="13" spans="1:13" ht="14.5" x14ac:dyDescent="0.35">
      <c r="A13" s="43" t="s">
        <v>32</v>
      </c>
      <c r="B13" s="44">
        <v>-1</v>
      </c>
      <c r="C13" s="44">
        <v>-1</v>
      </c>
      <c r="D13" s="44">
        <v>-1</v>
      </c>
      <c r="E13" s="44">
        <v>-1</v>
      </c>
      <c r="F13" s="44">
        <v>-1</v>
      </c>
      <c r="K13" s="7"/>
    </row>
    <row r="14" spans="1:13" ht="14.5" x14ac:dyDescent="0.35">
      <c r="A14" s="43" t="s">
        <v>24</v>
      </c>
      <c r="B14" s="44">
        <v>34.700000000000003</v>
      </c>
      <c r="C14" s="44">
        <v>106.1</v>
      </c>
      <c r="D14" s="44">
        <v>63.6</v>
      </c>
      <c r="E14" s="44">
        <v>128.6</v>
      </c>
      <c r="F14" s="44">
        <v>63.6</v>
      </c>
      <c r="K14" s="7"/>
    </row>
    <row r="15" spans="1:13" ht="14.5" x14ac:dyDescent="0.35">
      <c r="A15" s="43" t="s">
        <v>31</v>
      </c>
      <c r="B15" s="44">
        <v>45</v>
      </c>
      <c r="C15" s="44">
        <v>133.4</v>
      </c>
      <c r="D15" s="44">
        <v>79.400000000000006</v>
      </c>
      <c r="E15" s="44">
        <v>160.9</v>
      </c>
      <c r="F15" s="44">
        <v>79.400000000000006</v>
      </c>
      <c r="K15" s="7"/>
    </row>
    <row r="16" spans="1:13" ht="14.5" x14ac:dyDescent="0.35">
      <c r="A16" s="43" t="s">
        <v>8</v>
      </c>
      <c r="B16" s="44">
        <v>4.9000000000000004</v>
      </c>
      <c r="C16" s="44">
        <v>13.3</v>
      </c>
      <c r="D16" s="44">
        <v>8.1</v>
      </c>
      <c r="E16" s="44">
        <v>17</v>
      </c>
      <c r="F16" s="44">
        <v>8.1</v>
      </c>
      <c r="K16" s="7"/>
    </row>
    <row r="17" spans="1:11" ht="14.5" x14ac:dyDescent="0.35">
      <c r="A17" s="43" t="s">
        <v>37</v>
      </c>
      <c r="B17" s="44">
        <v>49.1</v>
      </c>
      <c r="C17" s="44">
        <v>146.80000000000001</v>
      </c>
      <c r="D17" s="44">
        <v>90.9</v>
      </c>
      <c r="E17" s="44">
        <v>183.5</v>
      </c>
      <c r="F17" s="44">
        <v>90.9</v>
      </c>
      <c r="K17" s="7"/>
    </row>
    <row r="18" spans="1:11" ht="14.5" x14ac:dyDescent="0.35">
      <c r="A18" s="43" t="s">
        <v>34</v>
      </c>
      <c r="B18" s="44">
        <v>43.3</v>
      </c>
      <c r="C18" s="44">
        <v>128.6</v>
      </c>
      <c r="D18" s="44">
        <v>79.400000000000006</v>
      </c>
      <c r="E18" s="44">
        <v>160.9</v>
      </c>
      <c r="F18" s="44">
        <v>79.400000000000006</v>
      </c>
      <c r="K18" s="7"/>
    </row>
    <row r="19" spans="1:11" x14ac:dyDescent="0.3">
      <c r="A19" s="43" t="s">
        <v>23</v>
      </c>
      <c r="B19" s="44">
        <v>33.799999999999997</v>
      </c>
      <c r="C19" s="44">
        <v>101.3</v>
      </c>
      <c r="D19" s="44">
        <v>61.4</v>
      </c>
      <c r="E19" s="44">
        <v>124.4</v>
      </c>
      <c r="F19" s="44">
        <v>61.4</v>
      </c>
    </row>
    <row r="20" spans="1:11" x14ac:dyDescent="0.3">
      <c r="A20" s="43" t="s">
        <v>12</v>
      </c>
      <c r="B20" s="44">
        <v>11.6</v>
      </c>
      <c r="C20" s="44">
        <v>35.200000000000003</v>
      </c>
      <c r="D20" s="44">
        <v>21.3</v>
      </c>
      <c r="E20" s="44">
        <v>43</v>
      </c>
      <c r="F20" s="44">
        <v>21.3</v>
      </c>
    </row>
    <row r="21" spans="1:11" x14ac:dyDescent="0.3">
      <c r="A21" s="43" t="s">
        <v>58</v>
      </c>
      <c r="B21" s="44">
        <v>-1</v>
      </c>
      <c r="C21" s="44">
        <v>-1</v>
      </c>
      <c r="D21" s="44">
        <v>-1</v>
      </c>
      <c r="E21" s="44">
        <v>-1</v>
      </c>
      <c r="F21" s="44">
        <v>-1</v>
      </c>
    </row>
    <row r="22" spans="1:11" x14ac:dyDescent="0.3">
      <c r="A22" s="43" t="s">
        <v>57</v>
      </c>
      <c r="B22" s="44">
        <v>41.3</v>
      </c>
      <c r="C22" s="44">
        <v>124.4</v>
      </c>
      <c r="D22" s="44">
        <v>75</v>
      </c>
      <c r="E22" s="44">
        <v>151.5</v>
      </c>
      <c r="F22" s="44">
        <v>75</v>
      </c>
    </row>
    <row r="23" spans="1:11" x14ac:dyDescent="0.3">
      <c r="A23" s="43" t="s">
        <v>40</v>
      </c>
      <c r="B23" s="44">
        <v>2.7</v>
      </c>
      <c r="C23" s="44">
        <v>7.6</v>
      </c>
      <c r="D23" s="44">
        <v>4.2</v>
      </c>
      <c r="E23" s="44">
        <v>8.9</v>
      </c>
      <c r="F23" s="44">
        <v>4.2</v>
      </c>
    </row>
    <row r="24" spans="1:11" x14ac:dyDescent="0.3">
      <c r="A24" s="43" t="s">
        <v>16</v>
      </c>
      <c r="B24" s="44">
        <v>21.9</v>
      </c>
      <c r="C24" s="44">
        <v>61.5</v>
      </c>
      <c r="D24" s="44">
        <v>40.1</v>
      </c>
      <c r="E24" s="44">
        <v>76.599999999999994</v>
      </c>
      <c r="F24" s="44">
        <v>40.1</v>
      </c>
    </row>
    <row r="25" spans="1:11" x14ac:dyDescent="0.3">
      <c r="A25" s="43" t="s">
        <v>39</v>
      </c>
      <c r="B25" s="44">
        <v>51.8</v>
      </c>
      <c r="C25" s="44">
        <v>156.4</v>
      </c>
      <c r="D25" s="44">
        <v>93.1</v>
      </c>
      <c r="E25" s="44">
        <v>188.1</v>
      </c>
      <c r="F25" s="44">
        <v>93.1</v>
      </c>
    </row>
    <row r="26" spans="1:11" x14ac:dyDescent="0.3">
      <c r="A26" s="43" t="s">
        <v>181</v>
      </c>
      <c r="B26" s="44">
        <v>458.20000000000005</v>
      </c>
      <c r="C26" s="44">
        <v>1372.3</v>
      </c>
      <c r="D26" s="44">
        <v>831.6</v>
      </c>
      <c r="E26" s="44">
        <v>1681.2</v>
      </c>
      <c r="F26" s="44">
        <v>831.6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zoomScaleNormal="100" workbookViewId="0">
      <selection activeCell="G13" sqref="G13"/>
    </sheetView>
  </sheetViews>
  <sheetFormatPr defaultColWidth="11" defaultRowHeight="13" x14ac:dyDescent="0.3"/>
  <cols>
    <col min="1" max="1" width="18.59765625" style="2" bestFit="1" customWidth="1"/>
    <col min="2" max="6" width="15.3984375" style="2" customWidth="1"/>
    <col min="7" max="7" width="11" style="2"/>
    <col min="8" max="8" width="14.3984375" style="2" bestFit="1" customWidth="1"/>
    <col min="9" max="16384" width="11" style="2"/>
  </cols>
  <sheetData>
    <row r="1" spans="1:7" s="38" customFormat="1" ht="21" x14ac:dyDescent="0.5">
      <c r="A1" s="39" t="s">
        <v>55</v>
      </c>
      <c r="B1" s="38" t="s">
        <v>164</v>
      </c>
    </row>
    <row r="2" spans="1:7" s="38" customFormat="1" ht="21" x14ac:dyDescent="0.5">
      <c r="B2" s="38" t="s">
        <v>161</v>
      </c>
    </row>
    <row r="3" spans="1:7" ht="14.5" x14ac:dyDescent="0.35">
      <c r="A3" s="1"/>
      <c r="B3" s="1"/>
      <c r="C3" s="1"/>
      <c r="D3" s="1"/>
      <c r="E3" s="1"/>
      <c r="F3" s="1"/>
      <c r="G3" s="1"/>
    </row>
    <row r="4" spans="1:7" ht="23.5" x14ac:dyDescent="0.55000000000000004">
      <c r="A4" s="15" t="s">
        <v>162</v>
      </c>
      <c r="B4" s="1"/>
      <c r="C4" s="1"/>
      <c r="D4" s="1"/>
      <c r="E4" s="1"/>
      <c r="F4" s="1"/>
      <c r="G4" s="1"/>
    </row>
    <row r="5" spans="1:7" ht="14.5" x14ac:dyDescent="0.35">
      <c r="A5" s="17" t="s">
        <v>64</v>
      </c>
      <c r="B5" s="18" t="s">
        <v>79</v>
      </c>
      <c r="C5" s="19" t="s">
        <v>71</v>
      </c>
      <c r="D5" s="18" t="s">
        <v>75</v>
      </c>
      <c r="E5" s="19" t="s">
        <v>76</v>
      </c>
      <c r="F5" s="20" t="s">
        <v>77</v>
      </c>
    </row>
    <row r="6" spans="1:7" ht="14.5" x14ac:dyDescent="0.35">
      <c r="A6" s="7" t="s">
        <v>7</v>
      </c>
      <c r="B6" s="44">
        <v>3.6</v>
      </c>
      <c r="C6" s="44">
        <v>11.1</v>
      </c>
      <c r="D6" s="44">
        <v>5.8</v>
      </c>
      <c r="E6" s="44">
        <v>12.2</v>
      </c>
      <c r="F6" s="44">
        <v>5.8</v>
      </c>
    </row>
    <row r="7" spans="1:7" ht="14.5" x14ac:dyDescent="0.35">
      <c r="A7" s="7" t="s">
        <v>14</v>
      </c>
      <c r="B7" s="44">
        <v>18.399999999999999</v>
      </c>
      <c r="C7" s="44">
        <v>55.6</v>
      </c>
      <c r="D7" s="44">
        <v>33.799999999999997</v>
      </c>
      <c r="E7" s="44">
        <v>67.900000000000006</v>
      </c>
      <c r="F7" s="44">
        <v>33.799999999999997</v>
      </c>
    </row>
    <row r="8" spans="1:7" ht="14.5" x14ac:dyDescent="0.35">
      <c r="A8" s="7" t="s">
        <v>4</v>
      </c>
      <c r="B8" s="44">
        <v>2.7</v>
      </c>
      <c r="C8" s="44">
        <v>7.6</v>
      </c>
      <c r="D8" s="44">
        <v>4.2</v>
      </c>
      <c r="E8" s="44">
        <v>8.9</v>
      </c>
      <c r="F8" s="44">
        <v>4.2</v>
      </c>
    </row>
    <row r="9" spans="1:7" ht="14.5" x14ac:dyDescent="0.35">
      <c r="A9" s="7" t="s">
        <v>18</v>
      </c>
      <c r="B9" s="44">
        <v>26.8</v>
      </c>
      <c r="C9" s="44">
        <v>79.599999999999994</v>
      </c>
      <c r="D9" s="44">
        <v>47.9</v>
      </c>
      <c r="E9" s="44">
        <v>96.8</v>
      </c>
      <c r="F9" s="44">
        <v>47.9</v>
      </c>
    </row>
    <row r="10" spans="1:7" ht="14.5" x14ac:dyDescent="0.35">
      <c r="A10" s="7" t="s">
        <v>11</v>
      </c>
      <c r="B10" s="44">
        <v>9.4</v>
      </c>
      <c r="C10" s="44">
        <v>28.3</v>
      </c>
      <c r="D10" s="44">
        <v>16.100000000000001</v>
      </c>
      <c r="E10" s="44">
        <v>32.799999999999997</v>
      </c>
      <c r="F10" s="44">
        <v>16.100000000000001</v>
      </c>
    </row>
    <row r="11" spans="1:7" ht="14.5" x14ac:dyDescent="0.35">
      <c r="A11" s="7" t="s">
        <v>15</v>
      </c>
      <c r="B11" s="44">
        <v>0</v>
      </c>
      <c r="C11" s="44">
        <v>0</v>
      </c>
      <c r="D11" s="44">
        <v>0</v>
      </c>
      <c r="E11" s="44">
        <v>0</v>
      </c>
      <c r="F11" s="44">
        <v>0</v>
      </c>
    </row>
    <row r="12" spans="1:7" ht="14.5" x14ac:dyDescent="0.35">
      <c r="A12" s="7" t="s">
        <v>28</v>
      </c>
      <c r="B12" s="44">
        <v>0</v>
      </c>
      <c r="C12" s="44">
        <v>0</v>
      </c>
      <c r="D12" s="44">
        <v>0</v>
      </c>
      <c r="E12" s="44">
        <v>0</v>
      </c>
      <c r="F12" s="44">
        <v>0</v>
      </c>
    </row>
    <row r="13" spans="1:7" ht="14.5" x14ac:dyDescent="0.35">
      <c r="A13" s="7" t="s">
        <v>20</v>
      </c>
      <c r="B13" s="44">
        <v>28.5</v>
      </c>
      <c r="C13" s="44">
        <v>85.4</v>
      </c>
      <c r="D13" s="44">
        <v>52.3</v>
      </c>
      <c r="E13" s="44">
        <v>106.1</v>
      </c>
      <c r="F13" s="44">
        <v>52.3</v>
      </c>
    </row>
    <row r="14" spans="1:7" ht="14.5" x14ac:dyDescent="0.35">
      <c r="A14" s="7" t="s">
        <v>22</v>
      </c>
      <c r="B14" s="44">
        <v>30.7</v>
      </c>
      <c r="C14" s="44">
        <v>92.1</v>
      </c>
      <c r="D14" s="44">
        <v>57</v>
      </c>
      <c r="E14" s="44">
        <v>115.1</v>
      </c>
      <c r="F14" s="44">
        <v>57</v>
      </c>
    </row>
    <row r="15" spans="1:7" ht="14.5" x14ac:dyDescent="0.35">
      <c r="A15" s="7" t="s">
        <v>32</v>
      </c>
      <c r="B15" s="44">
        <v>-1</v>
      </c>
      <c r="C15" s="44">
        <v>-1</v>
      </c>
      <c r="D15" s="44">
        <v>-1</v>
      </c>
      <c r="E15" s="44">
        <v>-1</v>
      </c>
      <c r="F15" s="44">
        <v>-1</v>
      </c>
    </row>
    <row r="16" spans="1:7" ht="14.5" x14ac:dyDescent="0.35">
      <c r="A16" s="7" t="s">
        <v>24</v>
      </c>
      <c r="B16" s="44">
        <v>34.700000000000003</v>
      </c>
      <c r="C16" s="44">
        <v>106.1</v>
      </c>
      <c r="D16" s="44">
        <v>63.6</v>
      </c>
      <c r="E16" s="44">
        <v>128.6</v>
      </c>
      <c r="F16" s="44">
        <v>63.6</v>
      </c>
    </row>
    <row r="17" spans="1:6" ht="14.5" x14ac:dyDescent="0.35">
      <c r="A17" s="7" t="s">
        <v>31</v>
      </c>
      <c r="B17" s="44">
        <v>45</v>
      </c>
      <c r="C17" s="44">
        <v>133.4</v>
      </c>
      <c r="D17" s="44">
        <v>79.400000000000006</v>
      </c>
      <c r="E17" s="44">
        <v>160.9</v>
      </c>
      <c r="F17" s="44">
        <v>79.400000000000006</v>
      </c>
    </row>
    <row r="18" spans="1:6" ht="14.5" x14ac:dyDescent="0.35">
      <c r="A18" s="7" t="s">
        <v>8</v>
      </c>
      <c r="B18" s="44">
        <v>4.9000000000000004</v>
      </c>
      <c r="C18" s="44">
        <v>13.3</v>
      </c>
      <c r="D18" s="44">
        <v>8.1</v>
      </c>
      <c r="E18" s="44">
        <v>17</v>
      </c>
      <c r="F18" s="44">
        <v>8.1</v>
      </c>
    </row>
    <row r="19" spans="1:6" ht="14.5" x14ac:dyDescent="0.35">
      <c r="A19" s="7" t="s">
        <v>37</v>
      </c>
      <c r="B19" s="44">
        <v>49.1</v>
      </c>
      <c r="C19" s="44">
        <v>146.80000000000001</v>
      </c>
      <c r="D19" s="44">
        <v>90.9</v>
      </c>
      <c r="E19" s="44">
        <v>183.5</v>
      </c>
      <c r="F19" s="44">
        <v>90.9</v>
      </c>
    </row>
    <row r="20" spans="1:6" ht="14.5" x14ac:dyDescent="0.35">
      <c r="A20" s="7" t="s">
        <v>34</v>
      </c>
      <c r="B20" s="44">
        <v>43.3</v>
      </c>
      <c r="C20" s="44">
        <v>128.6</v>
      </c>
      <c r="D20" s="44">
        <v>79.400000000000006</v>
      </c>
      <c r="E20" s="44">
        <v>160.9</v>
      </c>
      <c r="F20" s="44">
        <v>79.400000000000006</v>
      </c>
    </row>
    <row r="21" spans="1:6" ht="14.5" x14ac:dyDescent="0.35">
      <c r="A21" s="7" t="s">
        <v>23</v>
      </c>
      <c r="B21" s="44">
        <v>33.799999999999997</v>
      </c>
      <c r="C21" s="44">
        <v>101.3</v>
      </c>
      <c r="D21" s="44">
        <v>61.4</v>
      </c>
      <c r="E21" s="44">
        <v>124.4</v>
      </c>
      <c r="F21" s="44">
        <v>61.4</v>
      </c>
    </row>
    <row r="22" spans="1:6" ht="14.5" x14ac:dyDescent="0.35">
      <c r="A22" s="7" t="s">
        <v>12</v>
      </c>
      <c r="B22" s="44">
        <v>11.6</v>
      </c>
      <c r="C22" s="44">
        <v>35.200000000000003</v>
      </c>
      <c r="D22" s="44">
        <v>21.3</v>
      </c>
      <c r="E22" s="44">
        <v>43</v>
      </c>
      <c r="F22" s="44">
        <v>21.3</v>
      </c>
    </row>
    <row r="23" spans="1:6" ht="14.5" x14ac:dyDescent="0.35">
      <c r="A23" s="7" t="s">
        <v>58</v>
      </c>
      <c r="B23" s="44">
        <v>-1</v>
      </c>
      <c r="C23" s="44">
        <v>-1</v>
      </c>
      <c r="D23" s="44">
        <v>-1</v>
      </c>
      <c r="E23" s="44">
        <v>-1</v>
      </c>
      <c r="F23" s="44">
        <v>-1</v>
      </c>
    </row>
    <row r="24" spans="1:6" ht="14.5" x14ac:dyDescent="0.35">
      <c r="A24" s="7" t="s">
        <v>57</v>
      </c>
      <c r="B24" s="44">
        <v>41.3</v>
      </c>
      <c r="C24" s="44">
        <v>124.4</v>
      </c>
      <c r="D24" s="44">
        <v>75</v>
      </c>
      <c r="E24" s="44">
        <v>151.5</v>
      </c>
      <c r="F24" s="44">
        <v>75</v>
      </c>
    </row>
    <row r="25" spans="1:6" ht="14.5" x14ac:dyDescent="0.35">
      <c r="A25" s="7" t="s">
        <v>40</v>
      </c>
      <c r="B25" s="44">
        <v>2.7</v>
      </c>
      <c r="C25" s="44">
        <v>7.6</v>
      </c>
      <c r="D25" s="44">
        <v>4.2</v>
      </c>
      <c r="E25" s="44">
        <v>8.9</v>
      </c>
      <c r="F25" s="44">
        <v>4.2</v>
      </c>
    </row>
    <row r="26" spans="1:6" ht="14.5" x14ac:dyDescent="0.35">
      <c r="A26" s="7" t="s">
        <v>16</v>
      </c>
      <c r="B26" s="44">
        <v>21.9</v>
      </c>
      <c r="C26" s="44">
        <v>61.5</v>
      </c>
      <c r="D26" s="44">
        <v>40.1</v>
      </c>
      <c r="E26" s="44">
        <v>76.599999999999994</v>
      </c>
      <c r="F26" s="44">
        <v>40.1</v>
      </c>
    </row>
    <row r="27" spans="1:6" ht="14.5" x14ac:dyDescent="0.35">
      <c r="A27" s="7" t="s">
        <v>39</v>
      </c>
      <c r="B27" s="44">
        <v>51.8</v>
      </c>
      <c r="C27" s="44">
        <v>156.4</v>
      </c>
      <c r="D27" s="44">
        <v>93.1</v>
      </c>
      <c r="E27" s="44">
        <v>188.1</v>
      </c>
      <c r="F27" s="44">
        <v>93.1</v>
      </c>
    </row>
    <row r="28" spans="1:6" ht="14.5" x14ac:dyDescent="0.35">
      <c r="A28" s="16" t="s">
        <v>82</v>
      </c>
      <c r="B28" s="29">
        <f>MIN(B6:B27)</f>
        <v>-1</v>
      </c>
      <c r="C28" s="29">
        <f t="shared" ref="C28:F28" si="0">MIN(C6:C27)</f>
        <v>-1</v>
      </c>
      <c r="D28" s="29">
        <f t="shared" si="0"/>
        <v>-1</v>
      </c>
      <c r="E28" s="29">
        <f t="shared" si="0"/>
        <v>-1</v>
      </c>
      <c r="F28" s="29">
        <f t="shared" si="0"/>
        <v>-1</v>
      </c>
    </row>
    <row r="29" spans="1:6" ht="14.5" x14ac:dyDescent="0.35">
      <c r="A29" s="16" t="s">
        <v>83</v>
      </c>
      <c r="B29" s="29">
        <f>MAX(B6:B27)</f>
        <v>51.8</v>
      </c>
      <c r="C29" s="29">
        <f t="shared" ref="C29:F29" si="1">MAX(C6:C27)</f>
        <v>156.4</v>
      </c>
      <c r="D29" s="29">
        <f t="shared" si="1"/>
        <v>93.1</v>
      </c>
      <c r="E29" s="29">
        <f t="shared" si="1"/>
        <v>188.1</v>
      </c>
      <c r="F29" s="29">
        <f t="shared" si="1"/>
        <v>93.1</v>
      </c>
    </row>
    <row r="30" spans="1:6" ht="14.5" x14ac:dyDescent="0.35">
      <c r="A30" s="16" t="s">
        <v>84</v>
      </c>
      <c r="B30" s="45">
        <f>AVERAGE(B6:B27)</f>
        <v>20.827272727272728</v>
      </c>
      <c r="C30" s="45">
        <f t="shared" ref="C30:F30" si="2">AVERAGE(C6:C27)</f>
        <v>62.377272727272725</v>
      </c>
      <c r="D30" s="45">
        <f t="shared" si="2"/>
        <v>37.800000000000004</v>
      </c>
      <c r="E30" s="45">
        <f t="shared" si="2"/>
        <v>76.418181818181822</v>
      </c>
      <c r="F30" s="45">
        <f t="shared" si="2"/>
        <v>37.800000000000004</v>
      </c>
    </row>
  </sheetData>
  <sortState xmlns:xlrd2="http://schemas.microsoft.com/office/spreadsheetml/2017/richdata2" ref="A6:A27">
    <sortCondition ref="A6:A27"/>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F5565E-5B19-45C3-B698-307BD8475FB2}">
  <dimension ref="A1:E39"/>
  <sheetViews>
    <sheetView workbookViewId="0">
      <selection activeCell="G8" sqref="G8"/>
    </sheetView>
  </sheetViews>
  <sheetFormatPr defaultRowHeight="13" x14ac:dyDescent="0.3"/>
  <sheetData>
    <row r="1" spans="1:5" ht="14.5" x14ac:dyDescent="0.35">
      <c r="A1" s="7">
        <v>20000</v>
      </c>
      <c r="B1" t="s">
        <v>5</v>
      </c>
      <c r="C1">
        <v>0</v>
      </c>
      <c r="D1" t="s">
        <v>6</v>
      </c>
      <c r="E1">
        <v>24</v>
      </c>
    </row>
    <row r="2" spans="1:5" ht="14.5" x14ac:dyDescent="0.35">
      <c r="A2" s="7">
        <v>20002</v>
      </c>
      <c r="B2" t="s">
        <v>5</v>
      </c>
      <c r="C2">
        <v>0</v>
      </c>
      <c r="D2" t="s">
        <v>6</v>
      </c>
      <c r="E2">
        <v>24</v>
      </c>
    </row>
    <row r="3" spans="1:5" ht="14.5" x14ac:dyDescent="0.35">
      <c r="A3" s="7">
        <v>20004</v>
      </c>
      <c r="B3" t="s">
        <v>5</v>
      </c>
      <c r="C3">
        <v>0</v>
      </c>
      <c r="D3" t="s">
        <v>6</v>
      </c>
      <c r="E3">
        <v>24</v>
      </c>
    </row>
    <row r="4" spans="1:5" ht="14.5" x14ac:dyDescent="0.35">
      <c r="A4" s="7">
        <v>20006</v>
      </c>
      <c r="B4" t="s">
        <v>5</v>
      </c>
      <c r="C4">
        <v>0</v>
      </c>
      <c r="D4" t="s">
        <v>6</v>
      </c>
      <c r="E4">
        <v>24</v>
      </c>
    </row>
    <row r="5" spans="1:5" ht="14.5" x14ac:dyDescent="0.35">
      <c r="A5" s="7">
        <v>20008</v>
      </c>
      <c r="B5" t="s">
        <v>5</v>
      </c>
      <c r="C5">
        <v>0</v>
      </c>
      <c r="D5" t="s">
        <v>6</v>
      </c>
      <c r="E5">
        <v>24</v>
      </c>
    </row>
    <row r="6" spans="1:5" ht="14.5" x14ac:dyDescent="0.35">
      <c r="A6" s="7">
        <v>20010</v>
      </c>
      <c r="B6" t="s">
        <v>5</v>
      </c>
      <c r="C6">
        <v>0</v>
      </c>
      <c r="D6" t="s">
        <v>6</v>
      </c>
      <c r="E6">
        <v>24</v>
      </c>
    </row>
    <row r="7" spans="1:5" ht="14.5" x14ac:dyDescent="0.35">
      <c r="A7" s="7">
        <v>20012</v>
      </c>
      <c r="B7" t="s">
        <v>5</v>
      </c>
      <c r="C7">
        <v>0</v>
      </c>
      <c r="D7" t="s">
        <v>6</v>
      </c>
      <c r="E7">
        <v>24</v>
      </c>
    </row>
    <row r="8" spans="1:5" ht="14.5" x14ac:dyDescent="0.35">
      <c r="A8" s="7">
        <v>20014</v>
      </c>
      <c r="B8" t="s">
        <v>5</v>
      </c>
      <c r="C8">
        <v>0</v>
      </c>
      <c r="D8" t="s">
        <v>6</v>
      </c>
      <c r="E8">
        <v>24</v>
      </c>
    </row>
    <row r="9" spans="1:5" ht="14.5" x14ac:dyDescent="0.35">
      <c r="A9" s="7">
        <v>20016</v>
      </c>
      <c r="B9" t="s">
        <v>5</v>
      </c>
      <c r="C9">
        <v>0</v>
      </c>
      <c r="D9" t="s">
        <v>6</v>
      </c>
      <c r="E9">
        <v>24</v>
      </c>
    </row>
    <row r="10" spans="1:5" ht="14.5" x14ac:dyDescent="0.35">
      <c r="A10" s="7">
        <v>20018</v>
      </c>
      <c r="B10" t="s">
        <v>5</v>
      </c>
      <c r="C10">
        <v>0</v>
      </c>
      <c r="D10" t="s">
        <v>6</v>
      </c>
      <c r="E10">
        <v>24</v>
      </c>
    </row>
    <row r="11" spans="1:5" ht="14.5" x14ac:dyDescent="0.35">
      <c r="A11" s="7">
        <v>20020</v>
      </c>
      <c r="B11" t="s">
        <v>5</v>
      </c>
      <c r="C11">
        <v>0</v>
      </c>
      <c r="D11" t="s">
        <v>6</v>
      </c>
      <c r="E11">
        <v>24</v>
      </c>
    </row>
    <row r="12" spans="1:5" ht="14.5" x14ac:dyDescent="0.35">
      <c r="A12" s="7">
        <v>20022</v>
      </c>
      <c r="B12" t="s">
        <v>5</v>
      </c>
      <c r="C12">
        <v>0</v>
      </c>
      <c r="D12" t="s">
        <v>6</v>
      </c>
      <c r="E12">
        <v>24</v>
      </c>
    </row>
    <row r="13" spans="1:5" ht="14.5" x14ac:dyDescent="0.35">
      <c r="A13" s="7">
        <v>20024</v>
      </c>
      <c r="B13" t="s">
        <v>5</v>
      </c>
      <c r="C13">
        <v>0</v>
      </c>
      <c r="D13" t="s">
        <v>6</v>
      </c>
      <c r="E13">
        <v>24</v>
      </c>
    </row>
    <row r="14" spans="1:5" ht="14.5" x14ac:dyDescent="0.35">
      <c r="A14" s="7">
        <v>20026</v>
      </c>
      <c r="B14" t="s">
        <v>5</v>
      </c>
      <c r="C14">
        <v>0</v>
      </c>
      <c r="D14" t="s">
        <v>6</v>
      </c>
      <c r="E14">
        <v>24</v>
      </c>
    </row>
    <row r="15" spans="1:5" ht="14.5" x14ac:dyDescent="0.35">
      <c r="A15" s="7">
        <v>20028</v>
      </c>
      <c r="B15" t="s">
        <v>5</v>
      </c>
      <c r="C15">
        <v>0</v>
      </c>
      <c r="D15" t="s">
        <v>6</v>
      </c>
      <c r="E15">
        <v>24</v>
      </c>
    </row>
    <row r="16" spans="1:5" ht="14.5" x14ac:dyDescent="0.35">
      <c r="A16" s="7">
        <v>20030</v>
      </c>
      <c r="B16" t="s">
        <v>5</v>
      </c>
      <c r="C16">
        <v>0</v>
      </c>
      <c r="D16" t="s">
        <v>6</v>
      </c>
      <c r="E16">
        <v>24</v>
      </c>
    </row>
    <row r="17" spans="1:5" ht="14.5" x14ac:dyDescent="0.35">
      <c r="A17" s="7">
        <v>20032</v>
      </c>
      <c r="B17" t="s">
        <v>5</v>
      </c>
      <c r="C17">
        <v>0</v>
      </c>
      <c r="D17" t="s">
        <v>6</v>
      </c>
      <c r="E17">
        <v>24</v>
      </c>
    </row>
    <row r="18" spans="1:5" ht="14.5" x14ac:dyDescent="0.35">
      <c r="A18" s="7">
        <v>20034</v>
      </c>
      <c r="B18" t="s">
        <v>5</v>
      </c>
      <c r="C18">
        <v>0</v>
      </c>
      <c r="D18" t="s">
        <v>6</v>
      </c>
      <c r="E18">
        <v>24</v>
      </c>
    </row>
    <row r="19" spans="1:5" ht="14.5" x14ac:dyDescent="0.35">
      <c r="A19" s="7">
        <v>20036</v>
      </c>
      <c r="B19" t="s">
        <v>5</v>
      </c>
      <c r="C19">
        <v>0</v>
      </c>
      <c r="D19" t="s">
        <v>6</v>
      </c>
      <c r="E19">
        <v>24</v>
      </c>
    </row>
    <row r="20" spans="1:5" ht="14.5" x14ac:dyDescent="0.35">
      <c r="A20" s="7">
        <v>20038</v>
      </c>
      <c r="B20" t="s">
        <v>5</v>
      </c>
      <c r="C20">
        <v>0</v>
      </c>
      <c r="D20" t="s">
        <v>6</v>
      </c>
      <c r="E20">
        <v>24</v>
      </c>
    </row>
    <row r="21" spans="1:5" ht="14.5" x14ac:dyDescent="0.35">
      <c r="A21" s="7">
        <v>20040</v>
      </c>
      <c r="B21" t="s">
        <v>5</v>
      </c>
      <c r="C21">
        <v>0</v>
      </c>
      <c r="D21" t="s">
        <v>6</v>
      </c>
      <c r="E21">
        <v>24</v>
      </c>
    </row>
    <row r="22" spans="1:5" ht="14.5" x14ac:dyDescent="0.35">
      <c r="A22" s="7">
        <v>20042</v>
      </c>
      <c r="B22" t="s">
        <v>5</v>
      </c>
      <c r="C22">
        <v>0</v>
      </c>
      <c r="D22" t="s">
        <v>6</v>
      </c>
      <c r="E22">
        <v>24</v>
      </c>
    </row>
    <row r="23" spans="1:5" ht="14.5" x14ac:dyDescent="0.35">
      <c r="A23" s="7">
        <v>20044</v>
      </c>
      <c r="B23" t="s">
        <v>5</v>
      </c>
      <c r="C23">
        <v>0</v>
      </c>
      <c r="D23" t="s">
        <v>6</v>
      </c>
      <c r="E23">
        <v>24</v>
      </c>
    </row>
    <row r="24" spans="1:5" ht="14.5" x14ac:dyDescent="0.35">
      <c r="A24" s="7">
        <v>20046</v>
      </c>
      <c r="B24" t="s">
        <v>5</v>
      </c>
      <c r="C24">
        <v>0</v>
      </c>
      <c r="D24" t="s">
        <v>6</v>
      </c>
      <c r="E24">
        <v>24</v>
      </c>
    </row>
    <row r="25" spans="1:5" ht="14.5" x14ac:dyDescent="0.35">
      <c r="A25" s="7">
        <v>20048</v>
      </c>
      <c r="B25" t="s">
        <v>5</v>
      </c>
      <c r="C25">
        <v>0</v>
      </c>
      <c r="D25" t="s">
        <v>6</v>
      </c>
      <c r="E25">
        <v>24</v>
      </c>
    </row>
    <row r="26" spans="1:5" ht="14.5" x14ac:dyDescent="0.35">
      <c r="A26" s="7">
        <v>20050</v>
      </c>
      <c r="B26" t="s">
        <v>5</v>
      </c>
      <c r="C26">
        <v>0</v>
      </c>
      <c r="D26" t="s">
        <v>6</v>
      </c>
      <c r="E26">
        <v>24</v>
      </c>
    </row>
    <row r="27" spans="1:5" ht="14.5" x14ac:dyDescent="0.35">
      <c r="A27" s="7">
        <v>20052</v>
      </c>
      <c r="B27" t="s">
        <v>5</v>
      </c>
      <c r="C27">
        <v>0</v>
      </c>
      <c r="D27" t="s">
        <v>6</v>
      </c>
      <c r="E27">
        <v>24</v>
      </c>
    </row>
    <row r="28" spans="1:5" ht="14.5" x14ac:dyDescent="0.35">
      <c r="A28" s="7">
        <v>20054</v>
      </c>
      <c r="B28" t="s">
        <v>5</v>
      </c>
      <c r="C28">
        <v>0</v>
      </c>
      <c r="D28" t="s">
        <v>6</v>
      </c>
      <c r="E28">
        <v>24</v>
      </c>
    </row>
    <row r="29" spans="1:5" ht="14.5" x14ac:dyDescent="0.35">
      <c r="A29" s="7">
        <v>20058</v>
      </c>
      <c r="B29" t="s">
        <v>5</v>
      </c>
      <c r="C29">
        <v>0</v>
      </c>
      <c r="D29" t="s">
        <v>6</v>
      </c>
      <c r="E29">
        <v>24</v>
      </c>
    </row>
    <row r="30" spans="1:5" ht="14.5" x14ac:dyDescent="0.35">
      <c r="A30" s="7">
        <v>20060</v>
      </c>
      <c r="B30" t="s">
        <v>5</v>
      </c>
      <c r="C30">
        <v>0</v>
      </c>
      <c r="D30" t="s">
        <v>6</v>
      </c>
      <c r="E30">
        <v>24</v>
      </c>
    </row>
    <row r="31" spans="1:5" ht="14.5" x14ac:dyDescent="0.35">
      <c r="A31" s="7">
        <v>21000</v>
      </c>
      <c r="B31" t="s">
        <v>5</v>
      </c>
      <c r="C31">
        <v>0</v>
      </c>
      <c r="D31" t="s">
        <v>6</v>
      </c>
      <c r="E31">
        <v>24</v>
      </c>
    </row>
    <row r="32" spans="1:5" ht="14.5" x14ac:dyDescent="0.35">
      <c r="A32" s="7">
        <v>21002</v>
      </c>
      <c r="B32" t="s">
        <v>5</v>
      </c>
      <c r="C32">
        <v>0</v>
      </c>
      <c r="D32" t="s">
        <v>6</v>
      </c>
      <c r="E32">
        <v>24</v>
      </c>
    </row>
    <row r="33" spans="1:5" ht="14.5" x14ac:dyDescent="0.35">
      <c r="A33" s="7">
        <v>21004</v>
      </c>
      <c r="B33" t="s">
        <v>5</v>
      </c>
      <c r="C33">
        <v>0</v>
      </c>
      <c r="D33" t="s">
        <v>6</v>
      </c>
      <c r="E33">
        <v>24</v>
      </c>
    </row>
    <row r="34" spans="1:5" ht="14.5" x14ac:dyDescent="0.35">
      <c r="A34" s="7">
        <v>21006</v>
      </c>
      <c r="B34" t="s">
        <v>5</v>
      </c>
      <c r="C34">
        <v>0</v>
      </c>
      <c r="D34" t="s">
        <v>6</v>
      </c>
      <c r="E34">
        <v>24</v>
      </c>
    </row>
    <row r="35" spans="1:5" ht="14.5" x14ac:dyDescent="0.35">
      <c r="A35" s="7">
        <v>21008</v>
      </c>
      <c r="B35" t="s">
        <v>5</v>
      </c>
      <c r="C35">
        <v>0</v>
      </c>
      <c r="D35" t="s">
        <v>6</v>
      </c>
      <c r="E35">
        <v>24</v>
      </c>
    </row>
    <row r="36" spans="1:5" ht="14.5" x14ac:dyDescent="0.35">
      <c r="A36" s="7">
        <v>21010</v>
      </c>
      <c r="B36" t="s">
        <v>5</v>
      </c>
      <c r="C36">
        <v>0</v>
      </c>
      <c r="D36" t="s">
        <v>6</v>
      </c>
      <c r="E36">
        <v>24</v>
      </c>
    </row>
    <row r="37" spans="1:5" ht="14.5" x14ac:dyDescent="0.35">
      <c r="A37" s="7">
        <v>21012</v>
      </c>
      <c r="B37" t="s">
        <v>5</v>
      </c>
      <c r="C37">
        <v>0</v>
      </c>
      <c r="D37" t="s">
        <v>6</v>
      </c>
      <c r="E37">
        <v>24</v>
      </c>
    </row>
    <row r="38" spans="1:5" ht="14.5" x14ac:dyDescent="0.35">
      <c r="A38" s="7">
        <v>21014</v>
      </c>
      <c r="B38" t="s">
        <v>5</v>
      </c>
      <c r="C38">
        <v>0</v>
      </c>
      <c r="D38" t="s">
        <v>6</v>
      </c>
      <c r="E38">
        <v>24</v>
      </c>
    </row>
    <row r="39" spans="1:5" ht="14.5" x14ac:dyDescent="0.35">
      <c r="A39" s="8">
        <v>21016</v>
      </c>
      <c r="B39" t="s">
        <v>5</v>
      </c>
      <c r="C39">
        <v>0</v>
      </c>
      <c r="D39" t="s">
        <v>6</v>
      </c>
      <c r="E39">
        <v>24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P54"/>
  <sheetViews>
    <sheetView topLeftCell="A5" zoomScale="80" zoomScaleNormal="80" workbookViewId="0">
      <selection activeCell="D9" sqref="D9"/>
    </sheetView>
  </sheetViews>
  <sheetFormatPr defaultColWidth="11" defaultRowHeight="14.5" x14ac:dyDescent="0.35"/>
  <cols>
    <col min="1" max="1" width="39.796875" style="1" bestFit="1" customWidth="1"/>
    <col min="2" max="16384" width="11" style="1"/>
  </cols>
  <sheetData>
    <row r="1" spans="1:16" s="38" customFormat="1" ht="21" x14ac:dyDescent="0.5">
      <c r="A1" s="39" t="s">
        <v>56</v>
      </c>
      <c r="B1" s="38" t="s">
        <v>174</v>
      </c>
    </row>
    <row r="2" spans="1:16" customFormat="1" ht="13" x14ac:dyDescent="0.3"/>
    <row r="3" spans="1:16" s="2" customFormat="1" x14ac:dyDescent="0.35">
      <c r="B3" s="1"/>
    </row>
    <row r="4" spans="1:16" s="2" customFormat="1" x14ac:dyDescent="0.35">
      <c r="B4" s="1" t="s">
        <v>151</v>
      </c>
    </row>
    <row r="5" spans="1:16" ht="22" customHeight="1" x14ac:dyDescent="0.45">
      <c r="A5" s="40" t="s">
        <v>53</v>
      </c>
      <c r="B5" s="47" t="s">
        <v>189</v>
      </c>
      <c r="C5" s="47"/>
      <c r="D5" s="47"/>
      <c r="E5" s="47"/>
      <c r="F5" s="47"/>
      <c r="G5" s="47"/>
      <c r="H5" s="47"/>
      <c r="I5" s="47"/>
      <c r="J5" s="47"/>
      <c r="K5" s="47"/>
      <c r="L5" s="47"/>
      <c r="M5" s="47"/>
      <c r="N5" s="47"/>
      <c r="O5" s="47"/>
      <c r="P5" s="47"/>
    </row>
    <row r="6" spans="1:16" ht="18.5" customHeight="1" x14ac:dyDescent="0.45">
      <c r="A6" s="40" t="s">
        <v>153</v>
      </c>
      <c r="B6" s="37" t="s">
        <v>187</v>
      </c>
      <c r="D6" s="46" t="s">
        <v>191</v>
      </c>
      <c r="E6" s="46"/>
      <c r="F6" s="46"/>
      <c r="G6" s="46"/>
      <c r="H6" s="46"/>
      <c r="I6" s="46"/>
      <c r="J6" s="46"/>
      <c r="K6" s="46"/>
      <c r="L6" s="46"/>
      <c r="M6" s="46"/>
      <c r="N6" s="46"/>
      <c r="O6" s="46"/>
      <c r="P6" s="46"/>
    </row>
    <row r="7" spans="1:16" ht="18.5" x14ac:dyDescent="0.45">
      <c r="A7" s="40"/>
      <c r="B7" s="37" t="s">
        <v>188</v>
      </c>
      <c r="D7" s="48" t="s">
        <v>190</v>
      </c>
      <c r="E7" s="48"/>
      <c r="F7" s="48"/>
      <c r="G7" s="48"/>
      <c r="H7" s="48"/>
      <c r="I7" s="48"/>
      <c r="J7" s="48"/>
      <c r="K7" s="48"/>
      <c r="L7" s="48"/>
      <c r="M7" s="48"/>
      <c r="N7" s="48"/>
      <c r="O7" s="48"/>
      <c r="P7" s="48"/>
    </row>
    <row r="9" spans="1:16" ht="23.5" x14ac:dyDescent="0.55000000000000004">
      <c r="A9" s="15" t="s">
        <v>165</v>
      </c>
      <c r="I9" s="2"/>
      <c r="J9" s="2"/>
    </row>
    <row r="10" spans="1:16" x14ac:dyDescent="0.35">
      <c r="A10" s="31" t="s">
        <v>102</v>
      </c>
      <c r="B10" s="14" t="s">
        <v>49</v>
      </c>
      <c r="C10" s="14" t="s">
        <v>50</v>
      </c>
      <c r="D10" s="14" t="s">
        <v>51</v>
      </c>
      <c r="E10" s="14" t="s">
        <v>52</v>
      </c>
      <c r="F10" s="14" t="s">
        <v>54</v>
      </c>
      <c r="I10" s="2"/>
      <c r="J10" s="2"/>
    </row>
    <row r="11" spans="1:16" x14ac:dyDescent="0.35">
      <c r="A11" s="8" t="s">
        <v>121</v>
      </c>
      <c r="B11" s="11">
        <v>20000</v>
      </c>
      <c r="C11" s="11" t="s">
        <v>5</v>
      </c>
      <c r="D11" s="11">
        <v>0</v>
      </c>
      <c r="E11" s="9" t="s">
        <v>6</v>
      </c>
      <c r="F11" s="9">
        <v>24</v>
      </c>
      <c r="I11" s="2"/>
      <c r="J11" s="2"/>
    </row>
    <row r="14" spans="1:16" ht="23.5" x14ac:dyDescent="0.55000000000000004">
      <c r="A14" s="15" t="s">
        <v>162</v>
      </c>
    </row>
    <row r="15" spans="1:16" x14ac:dyDescent="0.35">
      <c r="A15" s="12" t="s">
        <v>103</v>
      </c>
      <c r="B15" s="14" t="s">
        <v>49</v>
      </c>
      <c r="C15" s="13" t="s">
        <v>50</v>
      </c>
      <c r="D15" s="14" t="s">
        <v>51</v>
      </c>
      <c r="E15" s="13" t="s">
        <v>52</v>
      </c>
      <c r="F15" s="14" t="s">
        <v>54</v>
      </c>
    </row>
    <row r="16" spans="1:16" x14ac:dyDescent="0.35">
      <c r="A16" s="7" t="s">
        <v>121</v>
      </c>
      <c r="B16" s="10" t="str">
        <f>LEFT(A16, FIND("-", A16) - 1)</f>
        <v>20000</v>
      </c>
      <c r="C16" s="1" t="str">
        <f>MID(A16, FIND("-", A16) + 1, FIND("-", A16, FIND("-", A16) + 1) - FIND("-", A16) - 1)</f>
        <v>Monday</v>
      </c>
      <c r="D16" s="10" t="str">
        <f>MID(A16, FIND("-", A16, FIND("-", A16) + 1) + 1, FIND("-", A16, FIND("-", A16, FIND("-", A16) + 1) + 1) - FIND("-", A16, FIND("-", A16) + 1) - 1)</f>
        <v>0</v>
      </c>
      <c r="E16" s="1" t="str">
        <f>MID(A16, FIND("-", A16, FIND("-", A16, FIND("-", A16) + 1) + 1) + 1, FIND("-", A16, FIND("-", A16, FIND("-", A16, FIND("-", A16) + 1) + 1) + 1) - FIND("-", A16, FIND("-", A16, FIND("-", A16) + 1) + 1) - 1)</f>
        <v>Sunday</v>
      </c>
      <c r="F16" s="10" t="str">
        <f>MID(A16, FIND("-", A16, FIND("-", A16, FIND("-", A16, FIND("-", A16) + 1) + 1) + 1) + 1, LEN(A16) - FIND("-", A16, FIND("-", A16, FIND("-", A16, FIND("-", A16) + 1) + 1) + 1))</f>
        <v>24</v>
      </c>
    </row>
    <row r="17" spans="1:6" x14ac:dyDescent="0.35">
      <c r="A17" s="7" t="s">
        <v>122</v>
      </c>
      <c r="B17" s="10" t="str">
        <f t="shared" ref="B17:B54" si="0">LEFT(A17, FIND("-", A17) - 1)</f>
        <v>20002</v>
      </c>
      <c r="C17" s="1" t="str">
        <f t="shared" ref="C17:C54" si="1">MID(A17, FIND("-", A17) + 1, FIND("-", A17, FIND("-", A17) + 1) - FIND("-", A17) - 1)</f>
        <v>Monday</v>
      </c>
      <c r="D17" s="10" t="str">
        <f t="shared" ref="D17:D54" si="2">MID(A17, FIND("-", A17, FIND("-", A17) + 1) + 1, FIND("-", A17, FIND("-", A17, FIND("-", A17) + 1) + 1) - FIND("-", A17, FIND("-", A17) + 1) - 1)</f>
        <v>0</v>
      </c>
      <c r="E17" s="1" t="str">
        <f t="shared" ref="E17:E54" si="3">MID(A17, FIND("-", A17, FIND("-", A17, FIND("-", A17) + 1) + 1) + 1, FIND("-", A17, FIND("-", A17, FIND("-", A17, FIND("-", A17) + 1) + 1) + 1) - FIND("-", A17, FIND("-", A17, FIND("-", A17) + 1) + 1) - 1)</f>
        <v>Sunday</v>
      </c>
      <c r="F17" s="10" t="str">
        <f t="shared" ref="F17:F54" si="4">MID(A17, FIND("-", A17, FIND("-", A17, FIND("-", A17, FIND("-", A17) + 1) + 1) + 1) + 1, LEN(A17) - FIND("-", A17, FIND("-", A17, FIND("-", A17, FIND("-", A17) + 1) + 1) + 1))</f>
        <v>24</v>
      </c>
    </row>
    <row r="18" spans="1:6" x14ac:dyDescent="0.35">
      <c r="A18" s="7" t="s">
        <v>123</v>
      </c>
      <c r="B18" s="10" t="str">
        <f t="shared" si="0"/>
        <v>20004</v>
      </c>
      <c r="C18" s="1" t="str">
        <f t="shared" si="1"/>
        <v>Monday</v>
      </c>
      <c r="D18" s="10" t="str">
        <f t="shared" si="2"/>
        <v>0</v>
      </c>
      <c r="E18" s="1" t="str">
        <f t="shared" si="3"/>
        <v>Sunday</v>
      </c>
      <c r="F18" s="10" t="str">
        <f t="shared" si="4"/>
        <v>24</v>
      </c>
    </row>
    <row r="19" spans="1:6" x14ac:dyDescent="0.35">
      <c r="A19" s="7" t="s">
        <v>124</v>
      </c>
      <c r="B19" s="10" t="str">
        <f t="shared" si="0"/>
        <v>20006</v>
      </c>
      <c r="C19" s="1" t="str">
        <f t="shared" si="1"/>
        <v>Monday</v>
      </c>
      <c r="D19" s="10" t="str">
        <f t="shared" si="2"/>
        <v>0</v>
      </c>
      <c r="E19" s="1" t="str">
        <f t="shared" si="3"/>
        <v>Sunday</v>
      </c>
      <c r="F19" s="10" t="str">
        <f t="shared" si="4"/>
        <v>24</v>
      </c>
    </row>
    <row r="20" spans="1:6" x14ac:dyDescent="0.35">
      <c r="A20" s="7" t="s">
        <v>125</v>
      </c>
      <c r="B20" s="10" t="str">
        <f t="shared" si="0"/>
        <v>20008</v>
      </c>
      <c r="C20" s="1" t="str">
        <f t="shared" si="1"/>
        <v>Monday</v>
      </c>
      <c r="D20" s="10" t="str">
        <f t="shared" si="2"/>
        <v>0</v>
      </c>
      <c r="E20" s="1" t="str">
        <f t="shared" si="3"/>
        <v>Sunday</v>
      </c>
      <c r="F20" s="10" t="str">
        <f t="shared" si="4"/>
        <v>24</v>
      </c>
    </row>
    <row r="21" spans="1:6" x14ac:dyDescent="0.35">
      <c r="A21" s="7" t="s">
        <v>126</v>
      </c>
      <c r="B21" s="10" t="str">
        <f t="shared" si="0"/>
        <v>20010</v>
      </c>
      <c r="C21" s="1" t="str">
        <f t="shared" si="1"/>
        <v>Monday</v>
      </c>
      <c r="D21" s="10" t="str">
        <f t="shared" si="2"/>
        <v>0</v>
      </c>
      <c r="E21" s="1" t="str">
        <f t="shared" si="3"/>
        <v>Sunday</v>
      </c>
      <c r="F21" s="10" t="str">
        <f t="shared" si="4"/>
        <v>24</v>
      </c>
    </row>
    <row r="22" spans="1:6" x14ac:dyDescent="0.35">
      <c r="A22" s="7" t="s">
        <v>127</v>
      </c>
      <c r="B22" s="10" t="str">
        <f t="shared" si="0"/>
        <v>20012</v>
      </c>
      <c r="C22" s="1" t="str">
        <f t="shared" si="1"/>
        <v>Monday</v>
      </c>
      <c r="D22" s="10" t="str">
        <f t="shared" si="2"/>
        <v>0</v>
      </c>
      <c r="E22" s="1" t="str">
        <f t="shared" si="3"/>
        <v>Sunday</v>
      </c>
      <c r="F22" s="10" t="str">
        <f t="shared" si="4"/>
        <v>24</v>
      </c>
    </row>
    <row r="23" spans="1:6" x14ac:dyDescent="0.35">
      <c r="A23" s="7" t="s">
        <v>128</v>
      </c>
      <c r="B23" s="10" t="str">
        <f t="shared" si="0"/>
        <v>20014</v>
      </c>
      <c r="C23" s="1" t="str">
        <f t="shared" si="1"/>
        <v>Monday</v>
      </c>
      <c r="D23" s="10" t="str">
        <f t="shared" si="2"/>
        <v>0</v>
      </c>
      <c r="E23" s="1" t="str">
        <f t="shared" si="3"/>
        <v>Sunday</v>
      </c>
      <c r="F23" s="10" t="str">
        <f t="shared" si="4"/>
        <v>24</v>
      </c>
    </row>
    <row r="24" spans="1:6" x14ac:dyDescent="0.35">
      <c r="A24" s="7" t="s">
        <v>129</v>
      </c>
      <c r="B24" s="10" t="str">
        <f t="shared" si="0"/>
        <v>20016</v>
      </c>
      <c r="C24" s="1" t="str">
        <f t="shared" si="1"/>
        <v>Monday</v>
      </c>
      <c r="D24" s="10" t="str">
        <f t="shared" si="2"/>
        <v>0</v>
      </c>
      <c r="E24" s="1" t="str">
        <f t="shared" si="3"/>
        <v>Sunday</v>
      </c>
      <c r="F24" s="10" t="str">
        <f t="shared" si="4"/>
        <v>24</v>
      </c>
    </row>
    <row r="25" spans="1:6" x14ac:dyDescent="0.35">
      <c r="A25" s="7" t="s">
        <v>130</v>
      </c>
      <c r="B25" s="10" t="str">
        <f t="shared" si="0"/>
        <v>20018</v>
      </c>
      <c r="C25" s="1" t="str">
        <f t="shared" si="1"/>
        <v>Monday</v>
      </c>
      <c r="D25" s="10" t="str">
        <f t="shared" si="2"/>
        <v>0</v>
      </c>
      <c r="E25" s="1" t="str">
        <f t="shared" si="3"/>
        <v>Sunday</v>
      </c>
      <c r="F25" s="10" t="str">
        <f t="shared" si="4"/>
        <v>24</v>
      </c>
    </row>
    <row r="26" spans="1:6" x14ac:dyDescent="0.35">
      <c r="A26" s="7" t="s">
        <v>131</v>
      </c>
      <c r="B26" s="10" t="str">
        <f t="shared" si="0"/>
        <v>20020</v>
      </c>
      <c r="C26" s="1" t="str">
        <f t="shared" si="1"/>
        <v>Monday</v>
      </c>
      <c r="D26" s="10" t="str">
        <f t="shared" si="2"/>
        <v>0</v>
      </c>
      <c r="E26" s="1" t="str">
        <f t="shared" si="3"/>
        <v>Sunday</v>
      </c>
      <c r="F26" s="10" t="str">
        <f t="shared" si="4"/>
        <v>24</v>
      </c>
    </row>
    <row r="27" spans="1:6" x14ac:dyDescent="0.35">
      <c r="A27" s="7" t="s">
        <v>132</v>
      </c>
      <c r="B27" s="10" t="str">
        <f t="shared" si="0"/>
        <v>20022</v>
      </c>
      <c r="C27" s="1" t="str">
        <f t="shared" si="1"/>
        <v>Monday</v>
      </c>
      <c r="D27" s="10" t="str">
        <f t="shared" si="2"/>
        <v>0</v>
      </c>
      <c r="E27" s="1" t="str">
        <f t="shared" si="3"/>
        <v>Sunday</v>
      </c>
      <c r="F27" s="10" t="str">
        <f t="shared" si="4"/>
        <v>24</v>
      </c>
    </row>
    <row r="28" spans="1:6" x14ac:dyDescent="0.35">
      <c r="A28" s="7" t="s">
        <v>133</v>
      </c>
      <c r="B28" s="10" t="str">
        <f t="shared" si="0"/>
        <v>20024</v>
      </c>
      <c r="C28" s="1" t="str">
        <f t="shared" si="1"/>
        <v>Monday</v>
      </c>
      <c r="D28" s="10" t="str">
        <f t="shared" si="2"/>
        <v>0</v>
      </c>
      <c r="E28" s="1" t="str">
        <f t="shared" si="3"/>
        <v>Sunday</v>
      </c>
      <c r="F28" s="10" t="str">
        <f t="shared" si="4"/>
        <v>24</v>
      </c>
    </row>
    <row r="29" spans="1:6" x14ac:dyDescent="0.35">
      <c r="A29" s="7" t="s">
        <v>134</v>
      </c>
      <c r="B29" s="10" t="str">
        <f t="shared" si="0"/>
        <v>20026</v>
      </c>
      <c r="C29" s="1" t="str">
        <f t="shared" si="1"/>
        <v>Monday</v>
      </c>
      <c r="D29" s="10" t="str">
        <f t="shared" si="2"/>
        <v>0</v>
      </c>
      <c r="E29" s="1" t="str">
        <f t="shared" si="3"/>
        <v>Sunday</v>
      </c>
      <c r="F29" s="10" t="str">
        <f t="shared" si="4"/>
        <v>24</v>
      </c>
    </row>
    <row r="30" spans="1:6" x14ac:dyDescent="0.35">
      <c r="A30" s="7" t="s">
        <v>135</v>
      </c>
      <c r="B30" s="10" t="str">
        <f t="shared" si="0"/>
        <v>20028</v>
      </c>
      <c r="C30" s="1" t="str">
        <f t="shared" si="1"/>
        <v>Monday</v>
      </c>
      <c r="D30" s="10" t="str">
        <f t="shared" si="2"/>
        <v>0</v>
      </c>
      <c r="E30" s="1" t="str">
        <f t="shared" si="3"/>
        <v>Sunday</v>
      </c>
      <c r="F30" s="10" t="str">
        <f t="shared" si="4"/>
        <v>24</v>
      </c>
    </row>
    <row r="31" spans="1:6" x14ac:dyDescent="0.35">
      <c r="A31" s="7" t="s">
        <v>136</v>
      </c>
      <c r="B31" s="10" t="str">
        <f t="shared" si="0"/>
        <v>20030</v>
      </c>
      <c r="C31" s="1" t="str">
        <f t="shared" si="1"/>
        <v>Monday</v>
      </c>
      <c r="D31" s="10" t="str">
        <f t="shared" si="2"/>
        <v>0</v>
      </c>
      <c r="E31" s="1" t="str">
        <f t="shared" si="3"/>
        <v>Sunday</v>
      </c>
      <c r="F31" s="10" t="str">
        <f t="shared" si="4"/>
        <v>24</v>
      </c>
    </row>
    <row r="32" spans="1:6" x14ac:dyDescent="0.35">
      <c r="A32" s="7" t="s">
        <v>137</v>
      </c>
      <c r="B32" s="10" t="str">
        <f t="shared" si="0"/>
        <v>20032</v>
      </c>
      <c r="C32" s="1" t="str">
        <f t="shared" si="1"/>
        <v>Monday</v>
      </c>
      <c r="D32" s="10" t="str">
        <f t="shared" si="2"/>
        <v>0</v>
      </c>
      <c r="E32" s="1" t="str">
        <f t="shared" si="3"/>
        <v>Sunday</v>
      </c>
      <c r="F32" s="10" t="str">
        <f t="shared" si="4"/>
        <v>24</v>
      </c>
    </row>
    <row r="33" spans="1:6" x14ac:dyDescent="0.35">
      <c r="A33" s="7" t="s">
        <v>138</v>
      </c>
      <c r="B33" s="10" t="str">
        <f t="shared" si="0"/>
        <v>20034</v>
      </c>
      <c r="C33" s="1" t="str">
        <f t="shared" si="1"/>
        <v>Monday</v>
      </c>
      <c r="D33" s="10" t="str">
        <f t="shared" si="2"/>
        <v>0</v>
      </c>
      <c r="E33" s="1" t="str">
        <f t="shared" si="3"/>
        <v>Sunday</v>
      </c>
      <c r="F33" s="10" t="str">
        <f t="shared" si="4"/>
        <v>24</v>
      </c>
    </row>
    <row r="34" spans="1:6" x14ac:dyDescent="0.35">
      <c r="A34" s="7" t="s">
        <v>139</v>
      </c>
      <c r="B34" s="10" t="str">
        <f t="shared" si="0"/>
        <v>20036</v>
      </c>
      <c r="C34" s="1" t="str">
        <f t="shared" si="1"/>
        <v>Monday</v>
      </c>
      <c r="D34" s="10" t="str">
        <f t="shared" si="2"/>
        <v>0</v>
      </c>
      <c r="E34" s="1" t="str">
        <f t="shared" si="3"/>
        <v>Sunday</v>
      </c>
      <c r="F34" s="10" t="str">
        <f t="shared" si="4"/>
        <v>24</v>
      </c>
    </row>
    <row r="35" spans="1:6" x14ac:dyDescent="0.35">
      <c r="A35" s="7" t="s">
        <v>140</v>
      </c>
      <c r="B35" s="10" t="str">
        <f t="shared" si="0"/>
        <v>20038</v>
      </c>
      <c r="C35" s="1" t="str">
        <f t="shared" si="1"/>
        <v>Monday</v>
      </c>
      <c r="D35" s="10" t="str">
        <f t="shared" si="2"/>
        <v>0</v>
      </c>
      <c r="E35" s="1" t="str">
        <f t="shared" si="3"/>
        <v>Sunday</v>
      </c>
      <c r="F35" s="10" t="str">
        <f t="shared" si="4"/>
        <v>24</v>
      </c>
    </row>
    <row r="36" spans="1:6" x14ac:dyDescent="0.35">
      <c r="A36" s="7" t="s">
        <v>141</v>
      </c>
      <c r="B36" s="10" t="str">
        <f t="shared" si="0"/>
        <v>20040</v>
      </c>
      <c r="C36" s="1" t="str">
        <f t="shared" si="1"/>
        <v>Monday</v>
      </c>
      <c r="D36" s="10" t="str">
        <f t="shared" si="2"/>
        <v>0</v>
      </c>
      <c r="E36" s="1" t="str">
        <f t="shared" si="3"/>
        <v>Sunday</v>
      </c>
      <c r="F36" s="10" t="str">
        <f t="shared" si="4"/>
        <v>24</v>
      </c>
    </row>
    <row r="37" spans="1:6" x14ac:dyDescent="0.35">
      <c r="A37" s="7" t="s">
        <v>142</v>
      </c>
      <c r="B37" s="10" t="str">
        <f t="shared" si="0"/>
        <v>20042</v>
      </c>
      <c r="C37" s="1" t="str">
        <f t="shared" si="1"/>
        <v>Monday</v>
      </c>
      <c r="D37" s="10" t="str">
        <f t="shared" si="2"/>
        <v>0</v>
      </c>
      <c r="E37" s="1" t="str">
        <f t="shared" si="3"/>
        <v>Sunday</v>
      </c>
      <c r="F37" s="10" t="str">
        <f t="shared" si="4"/>
        <v>24</v>
      </c>
    </row>
    <row r="38" spans="1:6" x14ac:dyDescent="0.35">
      <c r="A38" s="7" t="s">
        <v>143</v>
      </c>
      <c r="B38" s="10" t="str">
        <f t="shared" si="0"/>
        <v>20044</v>
      </c>
      <c r="C38" s="1" t="str">
        <f t="shared" si="1"/>
        <v>Monday</v>
      </c>
      <c r="D38" s="10" t="str">
        <f t="shared" si="2"/>
        <v>0</v>
      </c>
      <c r="E38" s="1" t="str">
        <f t="shared" si="3"/>
        <v>Sunday</v>
      </c>
      <c r="F38" s="10" t="str">
        <f t="shared" si="4"/>
        <v>24</v>
      </c>
    </row>
    <row r="39" spans="1:6" x14ac:dyDescent="0.35">
      <c r="A39" s="7" t="s">
        <v>144</v>
      </c>
      <c r="B39" s="10" t="str">
        <f t="shared" si="0"/>
        <v>20046</v>
      </c>
      <c r="C39" s="1" t="str">
        <f t="shared" si="1"/>
        <v>Monday</v>
      </c>
      <c r="D39" s="10" t="str">
        <f t="shared" si="2"/>
        <v>0</v>
      </c>
      <c r="E39" s="1" t="str">
        <f t="shared" si="3"/>
        <v>Sunday</v>
      </c>
      <c r="F39" s="10" t="str">
        <f t="shared" si="4"/>
        <v>24</v>
      </c>
    </row>
    <row r="40" spans="1:6" x14ac:dyDescent="0.35">
      <c r="A40" s="7" t="s">
        <v>145</v>
      </c>
      <c r="B40" s="10" t="str">
        <f t="shared" si="0"/>
        <v>20048</v>
      </c>
      <c r="C40" s="1" t="str">
        <f t="shared" si="1"/>
        <v>Monday</v>
      </c>
      <c r="D40" s="10" t="str">
        <f t="shared" si="2"/>
        <v>0</v>
      </c>
      <c r="E40" s="1" t="str">
        <f t="shared" si="3"/>
        <v>Sunday</v>
      </c>
      <c r="F40" s="10" t="str">
        <f t="shared" si="4"/>
        <v>24</v>
      </c>
    </row>
    <row r="41" spans="1:6" x14ac:dyDescent="0.35">
      <c r="A41" s="7" t="s">
        <v>146</v>
      </c>
      <c r="B41" s="10" t="str">
        <f t="shared" si="0"/>
        <v>20050</v>
      </c>
      <c r="C41" s="1" t="str">
        <f t="shared" si="1"/>
        <v>Monday</v>
      </c>
      <c r="D41" s="10" t="str">
        <f t="shared" si="2"/>
        <v>0</v>
      </c>
      <c r="E41" s="1" t="str">
        <f t="shared" si="3"/>
        <v>Sunday</v>
      </c>
      <c r="F41" s="10" t="str">
        <f t="shared" si="4"/>
        <v>24</v>
      </c>
    </row>
    <row r="42" spans="1:6" x14ac:dyDescent="0.35">
      <c r="A42" s="7" t="s">
        <v>147</v>
      </c>
      <c r="B42" s="10" t="str">
        <f t="shared" si="0"/>
        <v>20052</v>
      </c>
      <c r="C42" s="1" t="str">
        <f t="shared" si="1"/>
        <v>Monday</v>
      </c>
      <c r="D42" s="10" t="str">
        <f t="shared" si="2"/>
        <v>0</v>
      </c>
      <c r="E42" s="1" t="str">
        <f t="shared" si="3"/>
        <v>Sunday</v>
      </c>
      <c r="F42" s="10" t="str">
        <f t="shared" si="4"/>
        <v>24</v>
      </c>
    </row>
    <row r="43" spans="1:6" x14ac:dyDescent="0.35">
      <c r="A43" s="7" t="s">
        <v>148</v>
      </c>
      <c r="B43" s="10" t="str">
        <f t="shared" si="0"/>
        <v>20054</v>
      </c>
      <c r="C43" s="1" t="str">
        <f t="shared" si="1"/>
        <v>Monday</v>
      </c>
      <c r="D43" s="10" t="str">
        <f t="shared" si="2"/>
        <v>0</v>
      </c>
      <c r="E43" s="1" t="str">
        <f t="shared" si="3"/>
        <v>Sunday</v>
      </c>
      <c r="F43" s="10" t="str">
        <f t="shared" si="4"/>
        <v>24</v>
      </c>
    </row>
    <row r="44" spans="1:6" x14ac:dyDescent="0.35">
      <c r="A44" s="7" t="s">
        <v>149</v>
      </c>
      <c r="B44" s="10" t="str">
        <f t="shared" si="0"/>
        <v>20058</v>
      </c>
      <c r="C44" s="1" t="str">
        <f t="shared" si="1"/>
        <v>Monday</v>
      </c>
      <c r="D44" s="10" t="str">
        <f t="shared" si="2"/>
        <v>0</v>
      </c>
      <c r="E44" s="1" t="str">
        <f t="shared" si="3"/>
        <v>Sunday</v>
      </c>
      <c r="F44" s="10" t="str">
        <f t="shared" si="4"/>
        <v>24</v>
      </c>
    </row>
    <row r="45" spans="1:6" x14ac:dyDescent="0.35">
      <c r="A45" s="7" t="s">
        <v>150</v>
      </c>
      <c r="B45" s="10" t="str">
        <f t="shared" si="0"/>
        <v>20060</v>
      </c>
      <c r="C45" s="1" t="str">
        <f t="shared" si="1"/>
        <v>Monday</v>
      </c>
      <c r="D45" s="10" t="str">
        <f t="shared" si="2"/>
        <v>0</v>
      </c>
      <c r="E45" s="1" t="str">
        <f t="shared" si="3"/>
        <v>Sunday</v>
      </c>
      <c r="F45" s="10" t="str">
        <f t="shared" si="4"/>
        <v>24</v>
      </c>
    </row>
    <row r="46" spans="1:6" x14ac:dyDescent="0.35">
      <c r="A46" s="7" t="s">
        <v>112</v>
      </c>
      <c r="B46" s="10" t="str">
        <f t="shared" si="0"/>
        <v>21000</v>
      </c>
      <c r="C46" s="1" t="str">
        <f t="shared" si="1"/>
        <v>Monday</v>
      </c>
      <c r="D46" s="10" t="str">
        <f t="shared" si="2"/>
        <v>0</v>
      </c>
      <c r="E46" s="1" t="str">
        <f t="shared" si="3"/>
        <v>Sunday</v>
      </c>
      <c r="F46" s="10" t="str">
        <f t="shared" si="4"/>
        <v>24</v>
      </c>
    </row>
    <row r="47" spans="1:6" x14ac:dyDescent="0.35">
      <c r="A47" s="7" t="s">
        <v>113</v>
      </c>
      <c r="B47" s="10" t="str">
        <f t="shared" si="0"/>
        <v>21002</v>
      </c>
      <c r="C47" s="1" t="str">
        <f t="shared" si="1"/>
        <v>Monday</v>
      </c>
      <c r="D47" s="10" t="str">
        <f t="shared" si="2"/>
        <v>0</v>
      </c>
      <c r="E47" s="1" t="str">
        <f t="shared" si="3"/>
        <v>Sunday</v>
      </c>
      <c r="F47" s="10" t="str">
        <f t="shared" si="4"/>
        <v>24</v>
      </c>
    </row>
    <row r="48" spans="1:6" x14ac:dyDescent="0.35">
      <c r="A48" s="7" t="s">
        <v>114</v>
      </c>
      <c r="B48" s="10" t="str">
        <f t="shared" si="0"/>
        <v>21004</v>
      </c>
      <c r="C48" s="1" t="str">
        <f t="shared" si="1"/>
        <v>Monday</v>
      </c>
      <c r="D48" s="10" t="str">
        <f t="shared" si="2"/>
        <v>0</v>
      </c>
      <c r="E48" s="1" t="str">
        <f t="shared" si="3"/>
        <v>Sunday</v>
      </c>
      <c r="F48" s="10" t="str">
        <f t="shared" si="4"/>
        <v>24</v>
      </c>
    </row>
    <row r="49" spans="1:6" x14ac:dyDescent="0.35">
      <c r="A49" s="7" t="s">
        <v>115</v>
      </c>
      <c r="B49" s="10" t="str">
        <f t="shared" si="0"/>
        <v>21006</v>
      </c>
      <c r="C49" s="1" t="str">
        <f t="shared" si="1"/>
        <v>Monday</v>
      </c>
      <c r="D49" s="10" t="str">
        <f t="shared" si="2"/>
        <v>0</v>
      </c>
      <c r="E49" s="1" t="str">
        <f t="shared" si="3"/>
        <v>Sunday</v>
      </c>
      <c r="F49" s="10" t="str">
        <f t="shared" si="4"/>
        <v>24</v>
      </c>
    </row>
    <row r="50" spans="1:6" x14ac:dyDescent="0.35">
      <c r="A50" s="7" t="s">
        <v>116</v>
      </c>
      <c r="B50" s="10" t="str">
        <f t="shared" si="0"/>
        <v>21008</v>
      </c>
      <c r="C50" s="1" t="str">
        <f t="shared" si="1"/>
        <v>Monday</v>
      </c>
      <c r="D50" s="10" t="str">
        <f t="shared" si="2"/>
        <v>0</v>
      </c>
      <c r="E50" s="1" t="str">
        <f t="shared" si="3"/>
        <v>Sunday</v>
      </c>
      <c r="F50" s="10" t="str">
        <f t="shared" si="4"/>
        <v>24</v>
      </c>
    </row>
    <row r="51" spans="1:6" x14ac:dyDescent="0.35">
      <c r="A51" s="7" t="s">
        <v>117</v>
      </c>
      <c r="B51" s="10" t="str">
        <f t="shared" si="0"/>
        <v>21010</v>
      </c>
      <c r="C51" s="1" t="str">
        <f t="shared" si="1"/>
        <v>Monday</v>
      </c>
      <c r="D51" s="10" t="str">
        <f t="shared" si="2"/>
        <v>0</v>
      </c>
      <c r="E51" s="1" t="str">
        <f t="shared" si="3"/>
        <v>Sunday</v>
      </c>
      <c r="F51" s="10" t="str">
        <f t="shared" si="4"/>
        <v>24</v>
      </c>
    </row>
    <row r="52" spans="1:6" x14ac:dyDescent="0.35">
      <c r="A52" s="7" t="s">
        <v>118</v>
      </c>
      <c r="B52" s="10" t="str">
        <f t="shared" si="0"/>
        <v>21012</v>
      </c>
      <c r="C52" s="1" t="str">
        <f t="shared" si="1"/>
        <v>Monday</v>
      </c>
      <c r="D52" s="10" t="str">
        <f t="shared" si="2"/>
        <v>0</v>
      </c>
      <c r="E52" s="1" t="str">
        <f t="shared" si="3"/>
        <v>Sunday</v>
      </c>
      <c r="F52" s="10" t="str">
        <f t="shared" si="4"/>
        <v>24</v>
      </c>
    </row>
    <row r="53" spans="1:6" x14ac:dyDescent="0.35">
      <c r="A53" s="7" t="s">
        <v>119</v>
      </c>
      <c r="B53" s="10" t="str">
        <f t="shared" si="0"/>
        <v>21014</v>
      </c>
      <c r="C53" s="1" t="str">
        <f t="shared" si="1"/>
        <v>Monday</v>
      </c>
      <c r="D53" s="10" t="str">
        <f t="shared" si="2"/>
        <v>0</v>
      </c>
      <c r="E53" s="1" t="str">
        <f t="shared" si="3"/>
        <v>Sunday</v>
      </c>
      <c r="F53" s="10" t="str">
        <f t="shared" si="4"/>
        <v>24</v>
      </c>
    </row>
    <row r="54" spans="1:6" x14ac:dyDescent="0.35">
      <c r="A54" s="8" t="s">
        <v>120</v>
      </c>
      <c r="B54" s="10" t="str">
        <f t="shared" si="0"/>
        <v>21016</v>
      </c>
      <c r="C54" s="1" t="str">
        <f t="shared" si="1"/>
        <v>Monday</v>
      </c>
      <c r="D54" s="10" t="str">
        <f t="shared" si="2"/>
        <v>0</v>
      </c>
      <c r="E54" s="1" t="str">
        <f t="shared" si="3"/>
        <v>Sunday</v>
      </c>
      <c r="F54" s="10" t="str">
        <f t="shared" si="4"/>
        <v>24</v>
      </c>
    </row>
  </sheetData>
  <mergeCells count="3">
    <mergeCell ref="B5:P5"/>
    <mergeCell ref="D6:P6"/>
    <mergeCell ref="D7:P7"/>
  </mergeCells>
  <phoneticPr fontId="10"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C22"/>
  <sheetViews>
    <sheetView topLeftCell="A5" zoomScaleNormal="100" workbookViewId="0">
      <selection activeCell="B8" sqref="B8"/>
    </sheetView>
  </sheetViews>
  <sheetFormatPr defaultColWidth="11" defaultRowHeight="13" x14ac:dyDescent="0.3"/>
  <cols>
    <col min="1" max="1" width="28.19921875" style="2" bestFit="1" customWidth="1"/>
    <col min="2" max="2" width="17.796875" style="2" bestFit="1" customWidth="1"/>
    <col min="3" max="3" width="11" style="2" bestFit="1" customWidth="1"/>
    <col min="4" max="4" width="13.19921875" style="2" bestFit="1" customWidth="1"/>
    <col min="5" max="5" width="10.796875" style="2" bestFit="1" customWidth="1"/>
    <col min="6" max="6" width="13.3984375" style="2" bestFit="1" customWidth="1"/>
    <col min="7" max="8" width="14.59765625" style="2" bestFit="1" customWidth="1"/>
    <col min="9" max="9" width="17.796875" style="2" bestFit="1" customWidth="1"/>
    <col min="10" max="10" width="11" style="2" bestFit="1" customWidth="1"/>
    <col min="11" max="11" width="9" style="2" bestFit="1" customWidth="1"/>
    <col min="12" max="12" width="10.796875" style="2" bestFit="1" customWidth="1"/>
    <col min="13" max="13" width="12.3984375" style="2" bestFit="1" customWidth="1"/>
    <col min="14" max="14" width="11" style="2" bestFit="1" customWidth="1"/>
    <col min="15" max="15" width="8" style="2" bestFit="1" customWidth="1"/>
    <col min="16" max="16" width="12.3984375" style="2" bestFit="1" customWidth="1"/>
    <col min="17" max="17" width="12.59765625" style="2" bestFit="1" customWidth="1"/>
    <col min="18" max="18" width="24.19921875" style="2" bestFit="1" customWidth="1"/>
    <col min="19" max="19" width="12.59765625" style="2" bestFit="1" customWidth="1"/>
    <col min="20" max="20" width="16" style="2" bestFit="1" customWidth="1"/>
    <col min="21" max="21" width="9" style="2" bestFit="1" customWidth="1"/>
    <col min="22" max="22" width="10.796875" style="2" bestFit="1" customWidth="1"/>
    <col min="23" max="24" width="13.3984375" style="2" bestFit="1" customWidth="1"/>
    <col min="25" max="25" width="15" style="2" bestFit="1" customWidth="1"/>
    <col min="26" max="16384" width="11" style="2"/>
  </cols>
  <sheetData>
    <row r="1" spans="1:3" ht="21" x14ac:dyDescent="0.5">
      <c r="A1" s="39" t="s">
        <v>85</v>
      </c>
      <c r="B1" s="38" t="s">
        <v>167</v>
      </c>
    </row>
    <row r="2" spans="1:3" ht="18.5" x14ac:dyDescent="0.45">
      <c r="B2" s="37" t="s">
        <v>166</v>
      </c>
    </row>
    <row r="5" spans="1:3" ht="14.5" x14ac:dyDescent="0.35">
      <c r="B5" s="1" t="s">
        <v>151</v>
      </c>
    </row>
    <row r="6" spans="1:3" ht="14.5" x14ac:dyDescent="0.35">
      <c r="A6" s="3" t="s">
        <v>53</v>
      </c>
      <c r="B6" s="49" t="s">
        <v>192</v>
      </c>
    </row>
    <row r="7" spans="1:3" ht="14.5" x14ac:dyDescent="0.35">
      <c r="A7" s="3" t="s">
        <v>153</v>
      </c>
      <c r="B7" s="1" t="s">
        <v>193</v>
      </c>
    </row>
    <row r="10" spans="1:3" ht="23.5" x14ac:dyDescent="0.55000000000000004">
      <c r="A10" s="15" t="s">
        <v>162</v>
      </c>
    </row>
    <row r="11" spans="1:3" ht="14.5" x14ac:dyDescent="0.35">
      <c r="A11" s="30" t="s">
        <v>86</v>
      </c>
      <c r="B11" s="14" t="s">
        <v>87</v>
      </c>
      <c r="C11" s="14" t="s">
        <v>88</v>
      </c>
    </row>
    <row r="12" spans="1:3" ht="14.5" x14ac:dyDescent="0.35">
      <c r="A12" s="30">
        <v>44927</v>
      </c>
      <c r="B12" s="14" t="s">
        <v>59</v>
      </c>
      <c r="C12" s="14">
        <v>200</v>
      </c>
    </row>
    <row r="13" spans="1:3" ht="14.5" x14ac:dyDescent="0.35">
      <c r="A13" s="30">
        <v>44928</v>
      </c>
      <c r="B13" s="14" t="s">
        <v>60</v>
      </c>
      <c r="C13" s="14" t="e">
        <v>#N/A</v>
      </c>
    </row>
    <row r="14" spans="1:3" ht="14.5" x14ac:dyDescent="0.35">
      <c r="A14" s="30">
        <v>44929</v>
      </c>
      <c r="B14" s="14" t="s">
        <v>61</v>
      </c>
      <c r="C14" s="14">
        <v>50</v>
      </c>
    </row>
    <row r="15" spans="1:3" ht="14.5" x14ac:dyDescent="0.35">
      <c r="A15" s="30">
        <v>44930</v>
      </c>
      <c r="B15" s="14" t="s">
        <v>62</v>
      </c>
      <c r="C15" s="14" t="e">
        <v>#N/A</v>
      </c>
    </row>
    <row r="16" spans="1:3" ht="14.5" x14ac:dyDescent="0.35">
      <c r="A16" s="30">
        <v>44931</v>
      </c>
      <c r="B16" s="14" t="s">
        <v>63</v>
      </c>
      <c r="C16" s="14">
        <v>10</v>
      </c>
    </row>
    <row r="17" spans="1:3" ht="14.5" x14ac:dyDescent="0.35">
      <c r="A17" s="30">
        <v>44932</v>
      </c>
      <c r="B17" s="14" t="s">
        <v>154</v>
      </c>
      <c r="C17" s="14">
        <v>150</v>
      </c>
    </row>
    <row r="18" spans="1:3" ht="14.5" x14ac:dyDescent="0.35">
      <c r="A18" s="30">
        <v>44933</v>
      </c>
      <c r="B18" s="14" t="s">
        <v>155</v>
      </c>
      <c r="C18" s="14">
        <v>80</v>
      </c>
    </row>
    <row r="19" spans="1:3" ht="14.5" x14ac:dyDescent="0.35">
      <c r="A19" s="30">
        <v>44934</v>
      </c>
      <c r="B19" s="14" t="s">
        <v>156</v>
      </c>
      <c r="C19" s="14" t="e">
        <v>#N/A</v>
      </c>
    </row>
    <row r="20" spans="1:3" ht="14.5" x14ac:dyDescent="0.35">
      <c r="A20" s="30">
        <v>44935</v>
      </c>
      <c r="B20" s="14" t="s">
        <v>157</v>
      </c>
      <c r="C20" s="14">
        <v>30</v>
      </c>
    </row>
    <row r="21" spans="1:3" ht="14.5" x14ac:dyDescent="0.35">
      <c r="A21" s="30">
        <v>44936</v>
      </c>
      <c r="B21" s="14" t="s">
        <v>158</v>
      </c>
      <c r="C21" s="14" t="e">
        <v>#N/A</v>
      </c>
    </row>
    <row r="22" spans="1:3" ht="14.5" x14ac:dyDescent="0.35">
      <c r="B22" s="14" t="s">
        <v>159</v>
      </c>
      <c r="C22" s="22" cm="1">
        <f t="array" ref="C22">SUM(IFERROR(C12:C21, 20))</f>
        <v>600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abSelected="1" topLeftCell="A20" zoomScaleNormal="100" workbookViewId="0">
      <selection activeCell="A27" sqref="A27"/>
    </sheetView>
  </sheetViews>
  <sheetFormatPr defaultColWidth="11" defaultRowHeight="13" x14ac:dyDescent="0.3"/>
  <cols>
    <col min="1" max="1" width="28.19921875" style="2" bestFit="1" customWidth="1"/>
    <col min="2" max="3" width="11" style="2"/>
    <col min="4" max="5" width="13.5" style="2" bestFit="1" customWidth="1"/>
    <col min="6" max="6" width="14.3984375" style="2" bestFit="1" customWidth="1"/>
    <col min="7" max="7" width="14.296875" style="2" bestFit="1" customWidth="1"/>
    <col min="8" max="8" width="11.69921875" style="2" bestFit="1" customWidth="1"/>
    <col min="9" max="9" width="14.796875" style="2" bestFit="1" customWidth="1"/>
    <col min="10" max="16384" width="11" style="2"/>
  </cols>
  <sheetData>
    <row r="1" spans="1:14" ht="21" x14ac:dyDescent="0.5">
      <c r="A1" s="39" t="s">
        <v>98</v>
      </c>
      <c r="B1" s="38" t="s">
        <v>175</v>
      </c>
    </row>
    <row r="3" spans="1:14" ht="14.5" x14ac:dyDescent="0.35">
      <c r="B3" s="1" t="s">
        <v>151</v>
      </c>
    </row>
    <row r="4" spans="1:14" ht="18.5" x14ac:dyDescent="0.45">
      <c r="A4" s="40" t="s">
        <v>53</v>
      </c>
      <c r="B4" s="1"/>
      <c r="C4" s="50" t="s">
        <v>199</v>
      </c>
    </row>
    <row r="5" spans="1:14" ht="63" customHeight="1" x14ac:dyDescent="0.45">
      <c r="A5" s="40" t="s">
        <v>153</v>
      </c>
      <c r="B5" s="1"/>
      <c r="C5" s="54" t="s">
        <v>201</v>
      </c>
      <c r="D5" s="54"/>
      <c r="E5" s="54"/>
      <c r="F5" s="54"/>
      <c r="G5" s="54"/>
      <c r="H5" s="54"/>
      <c r="I5" s="54"/>
      <c r="J5" s="54"/>
      <c r="K5" s="54"/>
      <c r="L5" s="54"/>
      <c r="M5" s="54"/>
      <c r="N5" s="54"/>
    </row>
    <row r="6" spans="1:14" ht="14.5" x14ac:dyDescent="0.35">
      <c r="A6" s="3"/>
      <c r="B6" s="1"/>
    </row>
    <row r="8" spans="1:14" ht="23.5" x14ac:dyDescent="0.55000000000000004">
      <c r="A8" s="15" t="s">
        <v>162</v>
      </c>
      <c r="M8" s="15" t="s">
        <v>163</v>
      </c>
    </row>
    <row r="9" spans="1:14" ht="14.5" x14ac:dyDescent="0.35">
      <c r="A9" s="23"/>
      <c r="B9" s="23" t="s">
        <v>89</v>
      </c>
      <c r="C9" s="23" t="s">
        <v>90</v>
      </c>
      <c r="D9" s="23" t="s">
        <v>91</v>
      </c>
      <c r="E9" s="23" t="s">
        <v>92</v>
      </c>
      <c r="F9" s="23" t="s">
        <v>93</v>
      </c>
      <c r="G9" s="23" t="s">
        <v>94</v>
      </c>
      <c r="H9" s="23" t="s">
        <v>95</v>
      </c>
      <c r="I9" s="23" t="s">
        <v>96</v>
      </c>
      <c r="J9" s="23" t="s">
        <v>97</v>
      </c>
      <c r="M9" s="16" t="s">
        <v>43</v>
      </c>
      <c r="N9" s="16" t="s">
        <v>99</v>
      </c>
    </row>
    <row r="10" spans="1:14" ht="14.5" x14ac:dyDescent="0.35">
      <c r="A10" s="23" t="s">
        <v>89</v>
      </c>
      <c r="B10" s="22">
        <v>-1</v>
      </c>
      <c r="C10" s="22">
        <v>95</v>
      </c>
      <c r="D10" s="22">
        <v>-1</v>
      </c>
      <c r="E10" s="22">
        <v>185</v>
      </c>
      <c r="F10" s="22">
        <v>255</v>
      </c>
      <c r="G10" s="22">
        <v>305</v>
      </c>
      <c r="H10" s="22">
        <v>415</v>
      </c>
      <c r="I10" s="22">
        <v>480</v>
      </c>
      <c r="J10" s="22">
        <v>525</v>
      </c>
      <c r="M10" s="10">
        <v>10100</v>
      </c>
      <c r="N10" s="10" t="s">
        <v>89</v>
      </c>
    </row>
    <row r="11" spans="1:14" ht="14.5" x14ac:dyDescent="0.35">
      <c r="A11" s="23" t="s">
        <v>90</v>
      </c>
      <c r="B11" s="22">
        <v>95</v>
      </c>
      <c r="C11" s="22">
        <v>-1</v>
      </c>
      <c r="D11" s="22">
        <v>-1</v>
      </c>
      <c r="E11" s="22">
        <v>90</v>
      </c>
      <c r="F11" s="22">
        <v>160</v>
      </c>
      <c r="G11" s="22">
        <v>210</v>
      </c>
      <c r="H11" s="22">
        <v>325</v>
      </c>
      <c r="I11" s="22">
        <v>390</v>
      </c>
      <c r="J11" s="22">
        <v>430</v>
      </c>
      <c r="M11" s="10">
        <v>10102</v>
      </c>
      <c r="N11" s="10" t="s">
        <v>90</v>
      </c>
    </row>
    <row r="12" spans="1:14" ht="14.5" x14ac:dyDescent="0.35">
      <c r="A12" s="23" t="s">
        <v>91</v>
      </c>
      <c r="B12" s="22">
        <v>-1</v>
      </c>
      <c r="C12" s="22">
        <v>-1</v>
      </c>
      <c r="D12" s="22">
        <v>-1</v>
      </c>
      <c r="E12" s="22">
        <v>60</v>
      </c>
      <c r="F12" s="22">
        <v>130</v>
      </c>
      <c r="G12" s="22">
        <v>180</v>
      </c>
      <c r="H12" s="22">
        <v>295</v>
      </c>
      <c r="I12" s="22">
        <v>355</v>
      </c>
      <c r="J12" s="22">
        <v>400</v>
      </c>
      <c r="M12" s="10">
        <v>10104</v>
      </c>
      <c r="N12" s="10" t="s">
        <v>91</v>
      </c>
    </row>
    <row r="13" spans="1:14" ht="14.5" x14ac:dyDescent="0.35">
      <c r="A13" s="23" t="s">
        <v>92</v>
      </c>
      <c r="B13" s="22">
        <v>185</v>
      </c>
      <c r="C13" s="22">
        <v>90</v>
      </c>
      <c r="D13" s="22">
        <v>60</v>
      </c>
      <c r="E13" s="22">
        <v>-1</v>
      </c>
      <c r="F13" s="22">
        <v>70</v>
      </c>
      <c r="G13" s="22">
        <v>120</v>
      </c>
      <c r="H13" s="22">
        <v>235</v>
      </c>
      <c r="I13" s="22">
        <v>300</v>
      </c>
      <c r="J13" s="22">
        <v>340</v>
      </c>
      <c r="M13" s="10">
        <v>10106</v>
      </c>
      <c r="N13" s="10" t="s">
        <v>92</v>
      </c>
    </row>
    <row r="14" spans="1:14" ht="14.5" x14ac:dyDescent="0.35">
      <c r="A14" s="23" t="s">
        <v>93</v>
      </c>
      <c r="B14" s="22">
        <v>255</v>
      </c>
      <c r="C14" s="22">
        <v>160</v>
      </c>
      <c r="D14" s="22">
        <v>130</v>
      </c>
      <c r="E14" s="22">
        <v>70</v>
      </c>
      <c r="F14" s="22">
        <v>-1</v>
      </c>
      <c r="G14" s="22">
        <v>50</v>
      </c>
      <c r="H14" s="22">
        <v>165</v>
      </c>
      <c r="I14" s="22">
        <v>230</v>
      </c>
      <c r="J14" s="22">
        <v>270</v>
      </c>
      <c r="M14" s="10">
        <v>10108</v>
      </c>
      <c r="N14" s="10" t="s">
        <v>93</v>
      </c>
    </row>
    <row r="15" spans="1:14" ht="14.5" x14ac:dyDescent="0.35">
      <c r="A15" s="23" t="s">
        <v>94</v>
      </c>
      <c r="B15" s="22">
        <v>305</v>
      </c>
      <c r="C15" s="22">
        <v>210</v>
      </c>
      <c r="D15" s="22">
        <v>180</v>
      </c>
      <c r="E15" s="22">
        <v>120</v>
      </c>
      <c r="F15" s="22">
        <v>50</v>
      </c>
      <c r="G15" s="22">
        <v>-1</v>
      </c>
      <c r="H15" s="22">
        <v>115</v>
      </c>
      <c r="I15" s="22">
        <v>180</v>
      </c>
      <c r="J15" s="22">
        <v>220</v>
      </c>
      <c r="M15" s="10">
        <v>10110</v>
      </c>
      <c r="N15" s="10" t="s">
        <v>94</v>
      </c>
    </row>
    <row r="16" spans="1:14" ht="14.5" x14ac:dyDescent="0.35">
      <c r="A16" s="23" t="s">
        <v>95</v>
      </c>
      <c r="B16" s="22">
        <v>415</v>
      </c>
      <c r="C16" s="22">
        <v>325</v>
      </c>
      <c r="D16" s="22">
        <v>295</v>
      </c>
      <c r="E16" s="22">
        <v>235</v>
      </c>
      <c r="F16" s="22">
        <v>165</v>
      </c>
      <c r="G16" s="22">
        <v>115</v>
      </c>
      <c r="H16" s="22">
        <v>-1</v>
      </c>
      <c r="I16" s="22">
        <v>65</v>
      </c>
      <c r="J16" s="22">
        <v>105</v>
      </c>
      <c r="M16" s="10">
        <v>10112</v>
      </c>
      <c r="N16" s="10" t="s">
        <v>95</v>
      </c>
    </row>
    <row r="17" spans="1:14" ht="14.5" x14ac:dyDescent="0.35">
      <c r="A17" s="23" t="s">
        <v>96</v>
      </c>
      <c r="B17" s="22">
        <v>480</v>
      </c>
      <c r="C17" s="22">
        <v>390</v>
      </c>
      <c r="D17" s="22">
        <v>355</v>
      </c>
      <c r="E17" s="22">
        <v>300</v>
      </c>
      <c r="F17" s="22">
        <v>230</v>
      </c>
      <c r="G17" s="22">
        <v>180</v>
      </c>
      <c r="H17" s="22">
        <v>65</v>
      </c>
      <c r="I17" s="22">
        <v>-1</v>
      </c>
      <c r="J17" s="22">
        <v>40</v>
      </c>
      <c r="M17" s="10">
        <v>10114</v>
      </c>
      <c r="N17" s="10" t="s">
        <v>96</v>
      </c>
    </row>
    <row r="18" spans="1:14" ht="14.5" x14ac:dyDescent="0.35">
      <c r="A18" s="23" t="s">
        <v>97</v>
      </c>
      <c r="B18" s="22">
        <v>525</v>
      </c>
      <c r="C18" s="22">
        <v>430</v>
      </c>
      <c r="D18" s="22">
        <v>400</v>
      </c>
      <c r="E18" s="22">
        <v>340</v>
      </c>
      <c r="F18" s="22">
        <v>270</v>
      </c>
      <c r="G18" s="22">
        <v>220</v>
      </c>
      <c r="H18" s="22">
        <v>105</v>
      </c>
      <c r="I18" s="22">
        <v>40</v>
      </c>
      <c r="J18" s="22">
        <v>-1</v>
      </c>
      <c r="M18" s="11">
        <v>10116</v>
      </c>
      <c r="N18" s="11" t="s">
        <v>97</v>
      </c>
    </row>
    <row r="21" spans="1:14" ht="23.5" x14ac:dyDescent="0.55000000000000004">
      <c r="A21" s="15" t="s">
        <v>168</v>
      </c>
    </row>
    <row r="22" spans="1:14" ht="14.5" x14ac:dyDescent="0.35">
      <c r="A22" s="12" t="s">
        <v>100</v>
      </c>
      <c r="B22" s="14" t="s">
        <v>101</v>
      </c>
      <c r="C22" s="52" t="s">
        <v>102</v>
      </c>
      <c r="D22" s="51" t="s">
        <v>195</v>
      </c>
      <c r="E22" s="51" t="s">
        <v>194</v>
      </c>
      <c r="F22" s="51" t="s">
        <v>196</v>
      </c>
      <c r="G22" s="51" t="s">
        <v>200</v>
      </c>
      <c r="H22" s="51" t="s">
        <v>197</v>
      </c>
      <c r="I22" s="51" t="s">
        <v>198</v>
      </c>
      <c r="J22" s="51" t="s">
        <v>102</v>
      </c>
    </row>
    <row r="23" spans="1:14" ht="14.5" x14ac:dyDescent="0.35">
      <c r="A23" s="7">
        <v>10100</v>
      </c>
      <c r="B23" s="10">
        <v>10102</v>
      </c>
      <c r="C23" s="53">
        <f>INDEX($B$10:$J$18,MATCH(INDEX($M$10:$N$18,MATCH(A23,$M$10:$M$18,0),2),$A$10:$A$18,0),MATCH(INDEX($M$10:$N$18,MATCH(B23,$M$10:$M$18,0),2),$B$9:$J$9,0))</f>
        <v>95</v>
      </c>
      <c r="D23" s="51">
        <f>MATCH(A23,$M$10:$M$18,0)</f>
        <v>1</v>
      </c>
      <c r="E23" s="51">
        <f>MATCH(B23,$M$10:$M$18,0)</f>
        <v>2</v>
      </c>
      <c r="F23" s="51" t="str" cm="1">
        <f t="array" ref="F23">INDEX($M$10:$N$18,D23,2)</f>
        <v>A</v>
      </c>
      <c r="G23" s="51" t="str" cm="1">
        <f t="array" ref="G23">INDEX($M$10:$N$18,E23,2)</f>
        <v>B</v>
      </c>
      <c r="H23" s="51">
        <f>MATCH(F23,$A$10:$A$18,0)</f>
        <v>1</v>
      </c>
      <c r="I23" s="51">
        <f>MATCH(G23,$B$9:$J$9,0)</f>
        <v>2</v>
      </c>
      <c r="J23" s="51" cm="1">
        <f t="array" ref="J23">INDEX($B$10:$J$18,H23,I23)</f>
        <v>95</v>
      </c>
      <c r="K23" s="50"/>
    </row>
    <row r="24" spans="1:14" ht="14.5" x14ac:dyDescent="0.35">
      <c r="A24" s="7">
        <v>10100</v>
      </c>
      <c r="B24" s="10">
        <v>10104</v>
      </c>
      <c r="C24" s="53">
        <f t="shared" ref="C24:C35" si="0">INDEX($B$10:$J$18,MATCH(INDEX($M$10:$N$18,MATCH(A24,$M$10:$M$18,0),2),$A$10:$A$18,0),MATCH(INDEX($M$10:$N$18,MATCH(B24,$M$10:$M$18,0),2),$B$9:$J$9,0))</f>
        <v>-1</v>
      </c>
      <c r="D24" s="51">
        <f t="shared" ref="D24:D35" si="1">MATCH(A24,$M$10:$M$18,0)</f>
        <v>1</v>
      </c>
      <c r="E24" s="51">
        <f t="shared" ref="E24:E35" si="2">MATCH(B24,$M$10:$M$18,0)</f>
        <v>3</v>
      </c>
      <c r="F24" s="51" t="str" cm="1">
        <f t="array" ref="F24">INDEX($M$10:$N$18,D24,2)</f>
        <v>A</v>
      </c>
      <c r="G24" s="51" t="str" cm="1">
        <f t="array" ref="G24">INDEX($M$10:$N$18,E24,2)</f>
        <v>C</v>
      </c>
      <c r="H24" s="51">
        <f t="shared" ref="H24:H35" si="3">MATCH(F24,$A$10:$A$18,0)</f>
        <v>1</v>
      </c>
      <c r="I24" s="51">
        <f t="shared" ref="I24:I35" si="4">MATCH(G24,$B$9:$J$9,0)</f>
        <v>3</v>
      </c>
      <c r="J24" s="51" cm="1">
        <f t="array" ref="J24">INDEX($B$10:$J$18,H24,I24)</f>
        <v>-1</v>
      </c>
    </row>
    <row r="25" spans="1:14" ht="14.5" x14ac:dyDescent="0.35">
      <c r="A25" s="7">
        <v>10108</v>
      </c>
      <c r="B25" s="10">
        <v>10102</v>
      </c>
      <c r="C25" s="53">
        <f t="shared" si="0"/>
        <v>160</v>
      </c>
      <c r="D25" s="51">
        <f t="shared" si="1"/>
        <v>5</v>
      </c>
      <c r="E25" s="51">
        <f t="shared" si="2"/>
        <v>2</v>
      </c>
      <c r="F25" s="51" t="str" cm="1">
        <f t="array" ref="F25">INDEX($M$10:$N$18,D25,2)</f>
        <v>E</v>
      </c>
      <c r="G25" s="51" t="str" cm="1">
        <f t="array" ref="G25">INDEX($M$10:$N$18,E25,2)</f>
        <v>B</v>
      </c>
      <c r="H25" s="51">
        <f t="shared" si="3"/>
        <v>5</v>
      </c>
      <c r="I25" s="51">
        <f t="shared" si="4"/>
        <v>2</v>
      </c>
      <c r="J25" s="51" cm="1">
        <f t="array" ref="J25">INDEX($B$10:$J$18,H25,I25)</f>
        <v>160</v>
      </c>
    </row>
    <row r="26" spans="1:14" ht="14.5" x14ac:dyDescent="0.35">
      <c r="A26" s="7">
        <v>10100</v>
      </c>
      <c r="B26" s="10">
        <v>10106</v>
      </c>
      <c r="C26" s="53">
        <f t="shared" si="0"/>
        <v>185</v>
      </c>
      <c r="D26" s="51">
        <f t="shared" si="1"/>
        <v>1</v>
      </c>
      <c r="E26" s="51">
        <f t="shared" si="2"/>
        <v>4</v>
      </c>
      <c r="F26" s="51" t="str" cm="1">
        <f t="array" ref="F26">INDEX($M$10:$N$18,D26,2)</f>
        <v>A</v>
      </c>
      <c r="G26" s="51" t="str" cm="1">
        <f t="array" ref="G26">INDEX($M$10:$N$18,E26,2)</f>
        <v>D</v>
      </c>
      <c r="H26" s="51">
        <f t="shared" si="3"/>
        <v>1</v>
      </c>
      <c r="I26" s="51">
        <f t="shared" si="4"/>
        <v>4</v>
      </c>
      <c r="J26" s="51" cm="1">
        <f t="array" ref="J26">INDEX($B$10:$J$18,H26,I26)</f>
        <v>185</v>
      </c>
    </row>
    <row r="27" spans="1:14" ht="14.5" x14ac:dyDescent="0.35">
      <c r="A27" s="7">
        <v>10108</v>
      </c>
      <c r="B27" s="10">
        <v>10110</v>
      </c>
      <c r="C27" s="53">
        <f t="shared" si="0"/>
        <v>50</v>
      </c>
      <c r="D27" s="51">
        <f t="shared" si="1"/>
        <v>5</v>
      </c>
      <c r="E27" s="51">
        <f t="shared" si="2"/>
        <v>6</v>
      </c>
      <c r="F27" s="51" t="str" cm="1">
        <f t="array" ref="F27">INDEX($M$10:$N$18,D27,2)</f>
        <v>E</v>
      </c>
      <c r="G27" s="51" t="str" cm="1">
        <f t="array" ref="G27">INDEX($M$10:$N$18,E27,2)</f>
        <v>F</v>
      </c>
      <c r="H27" s="51">
        <f t="shared" si="3"/>
        <v>5</v>
      </c>
      <c r="I27" s="51">
        <f t="shared" si="4"/>
        <v>6</v>
      </c>
      <c r="J27" s="51" cm="1">
        <f t="array" ref="J27">INDEX($B$10:$J$18,H27,I27)</f>
        <v>50</v>
      </c>
    </row>
    <row r="28" spans="1:14" ht="14.5" x14ac:dyDescent="0.35">
      <c r="A28" s="7">
        <v>10102</v>
      </c>
      <c r="B28" s="10">
        <v>10104</v>
      </c>
      <c r="C28" s="53">
        <f t="shared" si="0"/>
        <v>-1</v>
      </c>
      <c r="D28" s="51">
        <f t="shared" si="1"/>
        <v>2</v>
      </c>
      <c r="E28" s="51">
        <f t="shared" si="2"/>
        <v>3</v>
      </c>
      <c r="F28" s="51" t="str" cm="1">
        <f t="array" ref="F28">INDEX($M$10:$N$18,D28,2)</f>
        <v>B</v>
      </c>
      <c r="G28" s="51" t="str" cm="1">
        <f t="array" ref="G28">INDEX($M$10:$N$18,E28,2)</f>
        <v>C</v>
      </c>
      <c r="H28" s="51">
        <f t="shared" si="3"/>
        <v>2</v>
      </c>
      <c r="I28" s="51">
        <f t="shared" si="4"/>
        <v>3</v>
      </c>
      <c r="J28" s="51" cm="1">
        <f t="array" ref="J28">INDEX($B$10:$J$18,H28,I28)</f>
        <v>-1</v>
      </c>
    </row>
    <row r="29" spans="1:14" ht="14.5" x14ac:dyDescent="0.35">
      <c r="A29" s="7">
        <v>10106</v>
      </c>
      <c r="B29" s="10">
        <v>10108</v>
      </c>
      <c r="C29" s="53">
        <f t="shared" si="0"/>
        <v>70</v>
      </c>
      <c r="D29" s="51">
        <f t="shared" si="1"/>
        <v>4</v>
      </c>
      <c r="E29" s="51">
        <f t="shared" si="2"/>
        <v>5</v>
      </c>
      <c r="F29" s="51" t="str" cm="1">
        <f t="array" ref="F29">INDEX($M$10:$N$18,D29,2)</f>
        <v>D</v>
      </c>
      <c r="G29" s="51" t="str" cm="1">
        <f t="array" ref="G29">INDEX($M$10:$N$18,E29,2)</f>
        <v>E</v>
      </c>
      <c r="H29" s="51">
        <f t="shared" si="3"/>
        <v>4</v>
      </c>
      <c r="I29" s="51">
        <f t="shared" si="4"/>
        <v>5</v>
      </c>
      <c r="J29" s="51" cm="1">
        <f t="array" ref="J29">INDEX($B$10:$J$18,H29,I29)</f>
        <v>70</v>
      </c>
    </row>
    <row r="30" spans="1:14" ht="14.5" x14ac:dyDescent="0.35">
      <c r="A30" s="7">
        <v>10102</v>
      </c>
      <c r="B30" s="10">
        <v>10106</v>
      </c>
      <c r="C30" s="53">
        <f t="shared" si="0"/>
        <v>90</v>
      </c>
      <c r="D30" s="51">
        <f t="shared" si="1"/>
        <v>2</v>
      </c>
      <c r="E30" s="51">
        <f t="shared" si="2"/>
        <v>4</v>
      </c>
      <c r="F30" s="51" t="str" cm="1">
        <f t="array" ref="F30">INDEX($M$10:$N$18,D30,2)</f>
        <v>B</v>
      </c>
      <c r="G30" s="51" t="str" cm="1">
        <f t="array" ref="G30">INDEX($M$10:$N$18,E30,2)</f>
        <v>D</v>
      </c>
      <c r="H30" s="51">
        <f t="shared" si="3"/>
        <v>2</v>
      </c>
      <c r="I30" s="51">
        <f t="shared" si="4"/>
        <v>4</v>
      </c>
      <c r="J30" s="51" cm="1">
        <f t="array" ref="J30">INDEX($B$10:$J$18,H30,I30)</f>
        <v>90</v>
      </c>
    </row>
    <row r="31" spans="1:14" ht="14.5" x14ac:dyDescent="0.35">
      <c r="A31" s="7">
        <v>10110</v>
      </c>
      <c r="B31" s="10">
        <v>10114</v>
      </c>
      <c r="C31" s="53">
        <f t="shared" si="0"/>
        <v>180</v>
      </c>
      <c r="D31" s="51">
        <f t="shared" si="1"/>
        <v>6</v>
      </c>
      <c r="E31" s="51">
        <f t="shared" si="2"/>
        <v>8</v>
      </c>
      <c r="F31" s="51" t="str" cm="1">
        <f t="array" ref="F31">INDEX($M$10:$N$18,D31,2)</f>
        <v>F</v>
      </c>
      <c r="G31" s="51" t="str" cm="1">
        <f t="array" ref="G31">INDEX($M$10:$N$18,E31,2)</f>
        <v>H</v>
      </c>
      <c r="H31" s="51">
        <f t="shared" si="3"/>
        <v>6</v>
      </c>
      <c r="I31" s="51">
        <f t="shared" si="4"/>
        <v>8</v>
      </c>
      <c r="J31" s="51" cm="1">
        <f t="array" ref="J31">INDEX($B$10:$J$18,H31,I31)</f>
        <v>180</v>
      </c>
    </row>
    <row r="32" spans="1:14" ht="14.5" x14ac:dyDescent="0.35">
      <c r="A32" s="7">
        <v>10104</v>
      </c>
      <c r="B32" s="10">
        <v>10106</v>
      </c>
      <c r="C32" s="53">
        <f t="shared" si="0"/>
        <v>60</v>
      </c>
      <c r="D32" s="51">
        <f t="shared" si="1"/>
        <v>3</v>
      </c>
      <c r="E32" s="51">
        <f t="shared" si="2"/>
        <v>4</v>
      </c>
      <c r="F32" s="51" t="str" cm="1">
        <f t="array" ref="F32">INDEX($M$10:$N$18,D32,2)</f>
        <v>C</v>
      </c>
      <c r="G32" s="51" t="str" cm="1">
        <f t="array" ref="G32">INDEX($M$10:$N$18,E32,2)</f>
        <v>D</v>
      </c>
      <c r="H32" s="51">
        <f t="shared" si="3"/>
        <v>3</v>
      </c>
      <c r="I32" s="51">
        <f t="shared" si="4"/>
        <v>4</v>
      </c>
      <c r="J32" s="51" cm="1">
        <f t="array" ref="J32">INDEX($B$10:$J$18,H32,I32)</f>
        <v>60</v>
      </c>
    </row>
    <row r="33" spans="1:10" ht="14.5" x14ac:dyDescent="0.35">
      <c r="A33" s="7">
        <v>10110</v>
      </c>
      <c r="B33" s="10">
        <v>10112</v>
      </c>
      <c r="C33" s="53">
        <f t="shared" si="0"/>
        <v>115</v>
      </c>
      <c r="D33" s="51">
        <f t="shared" si="1"/>
        <v>6</v>
      </c>
      <c r="E33" s="51">
        <f t="shared" si="2"/>
        <v>7</v>
      </c>
      <c r="F33" s="51" t="str" cm="1">
        <f t="array" ref="F33">INDEX($M$10:$N$18,D33,2)</f>
        <v>F</v>
      </c>
      <c r="G33" s="51" t="str" cm="1">
        <f t="array" ref="G33">INDEX($M$10:$N$18,E33,2)</f>
        <v>G</v>
      </c>
      <c r="H33" s="51">
        <f t="shared" si="3"/>
        <v>6</v>
      </c>
      <c r="I33" s="51">
        <f t="shared" si="4"/>
        <v>7</v>
      </c>
      <c r="J33" s="51" cm="1">
        <f t="array" ref="J33">INDEX($B$10:$J$18,H33,I33)</f>
        <v>115</v>
      </c>
    </row>
    <row r="34" spans="1:10" ht="14.5" x14ac:dyDescent="0.35">
      <c r="A34" s="7">
        <v>10100</v>
      </c>
      <c r="B34" s="10">
        <v>10114</v>
      </c>
      <c r="C34" s="53">
        <f t="shared" si="0"/>
        <v>480</v>
      </c>
      <c r="D34" s="51">
        <f t="shared" si="1"/>
        <v>1</v>
      </c>
      <c r="E34" s="51">
        <f t="shared" si="2"/>
        <v>8</v>
      </c>
      <c r="F34" s="51" t="str" cm="1">
        <f t="array" ref="F34">INDEX($M$10:$N$18,D34,2)</f>
        <v>A</v>
      </c>
      <c r="G34" s="51" t="str" cm="1">
        <f t="array" ref="G34">INDEX($M$10:$N$18,E34,2)</f>
        <v>H</v>
      </c>
      <c r="H34" s="51">
        <f t="shared" si="3"/>
        <v>1</v>
      </c>
      <c r="I34" s="51">
        <f t="shared" si="4"/>
        <v>8</v>
      </c>
      <c r="J34" s="51" cm="1">
        <f t="array" ref="J34">INDEX($B$10:$J$18,H34,I34)</f>
        <v>480</v>
      </c>
    </row>
    <row r="35" spans="1:10" ht="14.5" x14ac:dyDescent="0.35">
      <c r="A35" s="8">
        <v>10112</v>
      </c>
      <c r="B35" s="11">
        <v>10116</v>
      </c>
      <c r="C35" s="53">
        <f t="shared" si="0"/>
        <v>105</v>
      </c>
      <c r="D35" s="51">
        <f t="shared" si="1"/>
        <v>7</v>
      </c>
      <c r="E35" s="51">
        <f t="shared" si="2"/>
        <v>9</v>
      </c>
      <c r="F35" s="51" t="str" cm="1">
        <f t="array" ref="F35">INDEX($M$10:$N$18,D35,2)</f>
        <v>G</v>
      </c>
      <c r="G35" s="51" t="str" cm="1">
        <f t="array" ref="G35">INDEX($M$10:$N$18,E35,2)</f>
        <v>I</v>
      </c>
      <c r="H35" s="51">
        <f t="shared" si="3"/>
        <v>7</v>
      </c>
      <c r="I35" s="51">
        <f t="shared" si="4"/>
        <v>9</v>
      </c>
      <c r="J35" s="51" cm="1">
        <f t="array" ref="J35">INDEX($B$10:$J$18,H35,I35)</f>
        <v>105</v>
      </c>
    </row>
  </sheetData>
  <mergeCells count="1">
    <mergeCell ref="C5:N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Instructions</vt:lpstr>
      <vt:lpstr>Dataset</vt:lpstr>
      <vt:lpstr>Task_1</vt:lpstr>
      <vt:lpstr>Pivot_for_table_A</vt:lpstr>
      <vt:lpstr>Task_2</vt:lpstr>
      <vt:lpstr>Task 3 using text to columns</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ARYAN PARITOSH</cp:lastModifiedBy>
  <dcterms:created xsi:type="dcterms:W3CDTF">2015-02-10T17:33:11Z</dcterms:created>
  <dcterms:modified xsi:type="dcterms:W3CDTF">2023-12-10T08:34:35Z</dcterms:modified>
</cp:coreProperties>
</file>